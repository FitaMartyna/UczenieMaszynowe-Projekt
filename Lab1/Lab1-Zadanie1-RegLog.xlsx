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Users\Zbyszek\Downloads\"/>
    </mc:Choice>
  </mc:AlternateContent>
  <xr:revisionPtr revIDLastSave="3" documentId="8_{A4E8E164-2F07-46D8-9352-911978494C67}" xr6:coauthVersionLast="47" xr6:coauthVersionMax="47" xr10:uidLastSave="{BA38B703-716E-4A82-B5D3-8CCDE2BEB0B7}"/>
  <bookViews>
    <workbookView xWindow="585" yWindow="2265" windowWidth="28800" windowHeight="15345" firstSheet="2" activeTab="1" xr2:uid="{D0D51023-F27C-41D0-B58A-48798AEF1B99}"/>
  </bookViews>
  <sheets>
    <sheet name="RegresjaLogistycznaObliczenia1" sheetId="3" r:id="rId1"/>
    <sheet name="RegresjaLogistycznaObliczenia2" sheetId="5" r:id="rId2"/>
    <sheet name="RegresjaLogistycznaObliczenia3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5" l="1"/>
  <c r="B5" i="5"/>
  <c r="B6" i="5" s="1"/>
  <c r="B15" i="5"/>
  <c r="C3" i="3"/>
  <c r="D3" i="3" s="1"/>
  <c r="C4" i="3"/>
  <c r="D4" i="3"/>
  <c r="C5" i="3"/>
  <c r="C2" i="3" s="1"/>
  <c r="D2" i="3" s="1"/>
  <c r="C6" i="3"/>
  <c r="D6" i="3"/>
  <c r="C7" i="3"/>
  <c r="D7" i="3"/>
  <c r="C8" i="3"/>
  <c r="D8" i="3" s="1"/>
  <c r="C9" i="3"/>
  <c r="D9" i="3"/>
  <c r="C10" i="3"/>
  <c r="D10" i="3"/>
  <c r="C11" i="3"/>
  <c r="D11" i="3" s="1"/>
  <c r="C12" i="3"/>
  <c r="D12" i="3"/>
  <c r="C13" i="3"/>
  <c r="D13" i="3"/>
  <c r="C14" i="3"/>
  <c r="D14" i="3" s="1"/>
  <c r="C15" i="3"/>
  <c r="D15" i="3"/>
  <c r="C16" i="3"/>
  <c r="D16" i="3"/>
  <c r="C17" i="3"/>
  <c r="D17" i="3" s="1"/>
  <c r="C18" i="3"/>
  <c r="D18" i="3"/>
  <c r="C19" i="3"/>
  <c r="D19" i="3"/>
  <c r="C20" i="3"/>
  <c r="D20" i="3" s="1"/>
  <c r="C21" i="3"/>
  <c r="D21" i="3"/>
  <c r="C22" i="3"/>
  <c r="D22" i="3"/>
  <c r="C23" i="3"/>
  <c r="D23" i="3" s="1"/>
  <c r="C24" i="3"/>
  <c r="D24" i="3"/>
  <c r="C25" i="3"/>
  <c r="D25" i="3"/>
  <c r="C26" i="3"/>
  <c r="D26" i="3" s="1"/>
  <c r="C27" i="3"/>
  <c r="D27" i="3"/>
  <c r="C28" i="3"/>
  <c r="D28" i="3"/>
  <c r="C29" i="3"/>
  <c r="D29" i="3" s="1"/>
  <c r="C30" i="3"/>
  <c r="D30" i="3"/>
  <c r="C31" i="3"/>
  <c r="D31" i="3"/>
  <c r="C32" i="3"/>
  <c r="D32" i="3" s="1"/>
  <c r="C33" i="3"/>
  <c r="D33" i="3"/>
  <c r="C34" i="3"/>
  <c r="D34" i="3"/>
  <c r="C35" i="3"/>
  <c r="D35" i="3" s="1"/>
  <c r="C36" i="3"/>
  <c r="D36" i="3"/>
  <c r="C37" i="3"/>
  <c r="D37" i="3"/>
  <c r="C38" i="3"/>
  <c r="D38" i="3" s="1"/>
  <c r="C39" i="3"/>
  <c r="D39" i="3" s="1"/>
  <c r="A6" i="4" l="1"/>
  <c r="B6" i="4" s="1"/>
  <c r="A13" i="4"/>
  <c r="B13" i="4" s="1"/>
  <c r="A21" i="4"/>
  <c r="B21" i="4" s="1"/>
  <c r="A23" i="4"/>
  <c r="B23" i="4" s="1"/>
  <c r="A26" i="4"/>
  <c r="B26" i="4" s="1"/>
  <c r="A27" i="4"/>
  <c r="B27" i="4" s="1"/>
  <c r="A14" i="4"/>
  <c r="B14" i="4" s="1"/>
  <c r="A22" i="4"/>
  <c r="B22" i="4" s="1"/>
  <c r="A29" i="4"/>
  <c r="B29" i="4" s="1"/>
  <c r="A7" i="4"/>
  <c r="B7" i="4" s="1"/>
  <c r="A15" i="4"/>
  <c r="B15" i="4" s="1"/>
  <c r="A16" i="4"/>
  <c r="B16" i="4" s="1"/>
  <c r="A19" i="4"/>
  <c r="B19" i="4" s="1"/>
  <c r="A30" i="4"/>
  <c r="B30" i="4" s="1"/>
  <c r="A5" i="4"/>
  <c r="B5" i="4" s="1"/>
  <c r="A8" i="4"/>
  <c r="B8" i="4" s="1"/>
  <c r="A4" i="4"/>
  <c r="B4" i="4" s="1"/>
  <c r="A12" i="4"/>
  <c r="B12" i="4" s="1"/>
  <c r="A9" i="4"/>
  <c r="B9" i="4" s="1"/>
  <c r="A17" i="4"/>
  <c r="B17" i="4" s="1"/>
  <c r="A24" i="4"/>
  <c r="B24" i="4" s="1"/>
  <c r="A2" i="4"/>
  <c r="B2" i="4" s="1"/>
  <c r="B31" i="4" s="1"/>
  <c r="B17" i="5" s="1"/>
  <c r="B18" i="5" s="1"/>
  <c r="A10" i="4"/>
  <c r="B10" i="4" s="1"/>
  <c r="A18" i="4"/>
  <c r="B18" i="4" s="1"/>
  <c r="A11" i="4"/>
  <c r="B11" i="4" s="1"/>
  <c r="A20" i="4"/>
  <c r="B20" i="4" s="1"/>
  <c r="A3" i="4"/>
  <c r="B3" i="4" s="1"/>
  <c r="A25" i="4"/>
  <c r="B25" i="4" s="1"/>
  <c r="A28" i="4"/>
  <c r="B28" i="4" s="1"/>
  <c r="D5" i="3"/>
</calcChain>
</file>

<file path=xl/sharedStrings.xml><?xml version="1.0" encoding="utf-8"?>
<sst xmlns="http://schemas.openxmlformats.org/spreadsheetml/2006/main" count="17" uniqueCount="16">
  <si>
    <t>NoQ</t>
  </si>
  <si>
    <t>Users</t>
  </si>
  <si>
    <t>delta_Users</t>
  </si>
  <si>
    <t>Users_prim</t>
  </si>
  <si>
    <t>n=</t>
  </si>
  <si>
    <t>beta0=</t>
  </si>
  <si>
    <t>&lt;- obliczone z gretl</t>
  </si>
  <si>
    <t>beta1=</t>
  </si>
  <si>
    <t>a=</t>
  </si>
  <si>
    <t>k=</t>
  </si>
  <si>
    <t>a*sum(NoQ)=</t>
  </si>
  <si>
    <t>ln_b=</t>
  </si>
  <si>
    <t>b=</t>
  </si>
  <si>
    <t>(k/Users)-1</t>
  </si>
  <si>
    <t>ln[(k/Users)-1]</t>
  </si>
  <si>
    <t>SUMA=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</si>
</sst>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2">
    <font>
      <sz val="11"/>
      <color theme="1"/>
      <name val="Aptos Narrow"/>
      <family val="2"/>
      <charset val="238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2" borderId="0" xfId="0" applyFill="1"/>
    <xf numFmtId="1" fontId="0" fillId="2" borderId="0" xfId="0" applyNumberFormat="1" applyFill="1"/>
    <xf numFmtId="1" fontId="1" fillId="2" borderId="0" xfId="1" applyNumberFormat="1" applyFill="1" applyAlignment="1">
      <alignment horizontal="right" vertical="center"/>
    </xf>
    <xf numFmtId="1" fontId="0" fillId="0" borderId="0" xfId="0" applyNumberFormat="1"/>
    <xf numFmtId="164" fontId="0" fillId="0" borderId="0" xfId="0" applyNumberFormat="1"/>
  </cellXfs>
  <cellStyles count="2">
    <cellStyle name="Normal 2" xfId="1" xr:uid="{8E8F56F3-CB51-4A4C-A495-70333405B7CA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5F267-F7CD-469B-A596-559A9397D238}">
  <dimension ref="A1:D40"/>
  <sheetViews>
    <sheetView zoomScale="160" zoomScaleNormal="160" workbookViewId="0">
      <selection activeCell="D5" sqref="D5"/>
    </sheetView>
  </sheetViews>
  <sheetFormatPr defaultRowHeight="15"/>
  <cols>
    <col min="3" max="3" width="11.42578125" bestFit="1" customWidth="1"/>
    <col min="4" max="4" width="12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1</v>
      </c>
      <c r="B2" s="1">
        <v>100</v>
      </c>
      <c r="C2" s="2">
        <f>AVERAGE(C3:C39)</f>
        <v>54.837837837837839</v>
      </c>
      <c r="D2" s="1">
        <f>C2/B2</f>
        <v>0.54837837837837844</v>
      </c>
    </row>
    <row r="3" spans="1:4">
      <c r="A3" s="1">
        <v>2</v>
      </c>
      <c r="B3" s="2">
        <v>148.5</v>
      </c>
      <c r="C3" s="2">
        <f>B3-B2</f>
        <v>48.5</v>
      </c>
      <c r="D3" s="1">
        <f>C3/B3</f>
        <v>0.32659932659932661</v>
      </c>
    </row>
    <row r="4" spans="1:4">
      <c r="A4" s="1">
        <v>3</v>
      </c>
      <c r="B4" s="3">
        <v>197</v>
      </c>
      <c r="C4" s="2">
        <f>B4-B3</f>
        <v>48.5</v>
      </c>
      <c r="D4" s="1">
        <f>C4/B4</f>
        <v>0.24619289340101522</v>
      </c>
    </row>
    <row r="5" spans="1:4">
      <c r="A5" s="1">
        <v>4</v>
      </c>
      <c r="B5" s="3">
        <v>242</v>
      </c>
      <c r="C5" s="2">
        <f>B5-B4</f>
        <v>45</v>
      </c>
      <c r="D5" s="1">
        <f>C5/B5</f>
        <v>0.18595041322314049</v>
      </c>
    </row>
    <row r="6" spans="1:4">
      <c r="A6" s="1">
        <v>5</v>
      </c>
      <c r="B6" s="1">
        <v>305</v>
      </c>
      <c r="C6" s="2">
        <f>B6-B5</f>
        <v>63</v>
      </c>
      <c r="D6" s="1">
        <f>C6/B6</f>
        <v>0.20655737704918034</v>
      </c>
    </row>
    <row r="7" spans="1:4">
      <c r="A7" s="1">
        <v>6</v>
      </c>
      <c r="B7" s="1">
        <v>360</v>
      </c>
      <c r="C7" s="2">
        <f>B7-B6</f>
        <v>55</v>
      </c>
      <c r="D7" s="1">
        <f>C7/B7</f>
        <v>0.15277777777777779</v>
      </c>
    </row>
    <row r="8" spans="1:4">
      <c r="A8" s="1">
        <v>7</v>
      </c>
      <c r="B8" s="1">
        <v>431</v>
      </c>
      <c r="C8" s="2">
        <f>B8-B7</f>
        <v>71</v>
      </c>
      <c r="D8" s="1">
        <f>C8/B8</f>
        <v>0.16473317865429235</v>
      </c>
    </row>
    <row r="9" spans="1:4">
      <c r="A9" s="1">
        <v>8</v>
      </c>
      <c r="B9" s="1">
        <v>482</v>
      </c>
      <c r="C9" s="2">
        <f>B9-B8</f>
        <v>51</v>
      </c>
      <c r="D9" s="1">
        <f>C9/B9</f>
        <v>0.10580912863070539</v>
      </c>
    </row>
    <row r="10" spans="1:4">
      <c r="A10" s="1">
        <v>9</v>
      </c>
      <c r="B10" s="1">
        <v>550</v>
      </c>
      <c r="C10" s="2">
        <f>B10-B9</f>
        <v>68</v>
      </c>
      <c r="D10" s="1">
        <f>C10/B10</f>
        <v>0.12363636363636364</v>
      </c>
    </row>
    <row r="11" spans="1:4">
      <c r="A11" s="1">
        <v>10</v>
      </c>
      <c r="B11" s="1">
        <v>608</v>
      </c>
      <c r="C11" s="2">
        <f>B11-B10</f>
        <v>58</v>
      </c>
      <c r="D11" s="1">
        <f>C11/B11</f>
        <v>9.5394736842105268E-2</v>
      </c>
    </row>
    <row r="12" spans="1:4">
      <c r="A12" s="1">
        <v>11</v>
      </c>
      <c r="B12" s="1">
        <v>680</v>
      </c>
      <c r="C12" s="2">
        <f>B12-B11</f>
        <v>72</v>
      </c>
      <c r="D12" s="1">
        <f>C12/B12</f>
        <v>0.10588235294117647</v>
      </c>
    </row>
    <row r="13" spans="1:4">
      <c r="A13" s="1">
        <v>12</v>
      </c>
      <c r="B13" s="1">
        <v>739</v>
      </c>
      <c r="C13" s="2">
        <f>B13-B12</f>
        <v>59</v>
      </c>
      <c r="D13" s="1">
        <f>C13/B13</f>
        <v>7.9837618403247629E-2</v>
      </c>
    </row>
    <row r="14" spans="1:4">
      <c r="A14" s="1">
        <v>13</v>
      </c>
      <c r="B14" s="1">
        <v>800</v>
      </c>
      <c r="C14" s="2">
        <f>B14-B13</f>
        <v>61</v>
      </c>
      <c r="D14" s="1">
        <f>C14/B14</f>
        <v>7.6249999999999998E-2</v>
      </c>
    </row>
    <row r="15" spans="1:4">
      <c r="A15" s="1">
        <v>14</v>
      </c>
      <c r="B15" s="1">
        <v>845</v>
      </c>
      <c r="C15" s="2">
        <f>B15-B14</f>
        <v>45</v>
      </c>
      <c r="D15" s="1">
        <f>C15/B15</f>
        <v>5.3254437869822487E-2</v>
      </c>
    </row>
    <row r="16" spans="1:4">
      <c r="A16" s="1">
        <v>15</v>
      </c>
      <c r="B16" s="1">
        <v>901</v>
      </c>
      <c r="C16" s="2">
        <f>B16-B15</f>
        <v>56</v>
      </c>
      <c r="D16" s="1">
        <f>C16/B16</f>
        <v>6.2153163152053277E-2</v>
      </c>
    </row>
    <row r="17" spans="1:4">
      <c r="A17" s="1">
        <v>16</v>
      </c>
      <c r="B17" s="1">
        <v>955</v>
      </c>
      <c r="C17" s="2">
        <f>B17-B16</f>
        <v>54</v>
      </c>
      <c r="D17" s="1">
        <f>C17/B17</f>
        <v>5.654450261780105E-2</v>
      </c>
    </row>
    <row r="18" spans="1:4">
      <c r="A18" s="1">
        <v>17</v>
      </c>
      <c r="B18" s="1">
        <v>1007</v>
      </c>
      <c r="C18" s="2">
        <f>B18-B17</f>
        <v>52</v>
      </c>
      <c r="D18" s="1">
        <f>C18/B18</f>
        <v>5.1638530287984111E-2</v>
      </c>
    </row>
    <row r="19" spans="1:4">
      <c r="A19" s="1">
        <v>18</v>
      </c>
      <c r="B19" s="1">
        <v>1056</v>
      </c>
      <c r="C19" s="2">
        <f>B19-B18</f>
        <v>49</v>
      </c>
      <c r="D19" s="1">
        <f>C19/B19</f>
        <v>4.6401515151515152E-2</v>
      </c>
    </row>
    <row r="20" spans="1:4">
      <c r="A20" s="1">
        <v>19</v>
      </c>
      <c r="B20" s="1">
        <v>1110</v>
      </c>
      <c r="C20" s="2">
        <f>B20-B19</f>
        <v>54</v>
      </c>
      <c r="D20" s="1">
        <f>C20/B20</f>
        <v>4.8648648648648651E-2</v>
      </c>
    </row>
    <row r="21" spans="1:4">
      <c r="A21" s="1">
        <v>20</v>
      </c>
      <c r="B21" s="1">
        <v>1155</v>
      </c>
      <c r="C21" s="2">
        <f>B21-B20</f>
        <v>45</v>
      </c>
      <c r="D21" s="1">
        <f>C21/B21</f>
        <v>3.896103896103896E-2</v>
      </c>
    </row>
    <row r="22" spans="1:4">
      <c r="A22" s="1">
        <v>21</v>
      </c>
      <c r="B22" s="1">
        <v>1189</v>
      </c>
      <c r="C22" s="2">
        <f>B22-B21</f>
        <v>34</v>
      </c>
      <c r="D22" s="1">
        <f>C22/B22</f>
        <v>2.8595458368376788E-2</v>
      </c>
    </row>
    <row r="23" spans="1:4">
      <c r="A23" s="1">
        <v>22</v>
      </c>
      <c r="B23" s="1">
        <v>1228</v>
      </c>
      <c r="C23" s="2">
        <f>B23-B22</f>
        <v>39</v>
      </c>
      <c r="D23" s="1">
        <f>C23/B23</f>
        <v>3.1758957654723127E-2</v>
      </c>
    </row>
    <row r="24" spans="1:4">
      <c r="A24" s="1">
        <v>23</v>
      </c>
      <c r="B24" s="1">
        <v>1276</v>
      </c>
      <c r="C24" s="2">
        <f>B24-B23</f>
        <v>48</v>
      </c>
      <c r="D24" s="1">
        <f>C24/B24</f>
        <v>3.7617554858934171E-2</v>
      </c>
    </row>
    <row r="25" spans="1:4">
      <c r="A25" s="1">
        <v>24</v>
      </c>
      <c r="B25" s="1">
        <v>1317</v>
      </c>
      <c r="C25" s="2">
        <f>B25-B24</f>
        <v>41</v>
      </c>
      <c r="D25" s="1">
        <f>C25/B25</f>
        <v>3.1131359149582385E-2</v>
      </c>
    </row>
    <row r="26" spans="1:4">
      <c r="A26" s="1">
        <v>25</v>
      </c>
      <c r="B26" s="1">
        <v>1350</v>
      </c>
      <c r="C26" s="2">
        <f>B26-B25</f>
        <v>33</v>
      </c>
      <c r="D26" s="1">
        <f>C26/B26</f>
        <v>2.4444444444444446E-2</v>
      </c>
    </row>
    <row r="27" spans="1:4">
      <c r="A27" s="1">
        <v>26</v>
      </c>
      <c r="B27" s="1">
        <v>1393</v>
      </c>
      <c r="C27" s="2">
        <f>B27-B26</f>
        <v>43</v>
      </c>
      <c r="D27" s="1">
        <f>C27/B27</f>
        <v>3.0868628858578606E-2</v>
      </c>
    </row>
    <row r="28" spans="1:4">
      <c r="A28" s="1">
        <v>27</v>
      </c>
      <c r="B28" s="1">
        <v>1441</v>
      </c>
      <c r="C28" s="2">
        <f>B28-B27</f>
        <v>48</v>
      </c>
      <c r="D28" s="1">
        <f>C28/B28</f>
        <v>3.3310201249132546E-2</v>
      </c>
    </row>
    <row r="29" spans="1:4">
      <c r="A29" s="1">
        <v>28</v>
      </c>
      <c r="B29" s="1">
        <v>1490</v>
      </c>
      <c r="C29" s="2">
        <f>B29-B28</f>
        <v>49</v>
      </c>
      <c r="D29" s="1">
        <f>C29/B29</f>
        <v>3.2885906040268455E-2</v>
      </c>
    </row>
    <row r="30" spans="1:4">
      <c r="A30" s="1">
        <v>29</v>
      </c>
      <c r="B30" s="1">
        <v>1545</v>
      </c>
      <c r="C30" s="2">
        <f>B30-B29</f>
        <v>55</v>
      </c>
      <c r="D30" s="1">
        <f>C30/B30</f>
        <v>3.5598705501618123E-2</v>
      </c>
    </row>
    <row r="31" spans="1:4">
      <c r="A31">
        <v>30</v>
      </c>
      <c r="B31">
        <v>1591</v>
      </c>
      <c r="C31" s="4">
        <f>B31-B30</f>
        <v>46</v>
      </c>
      <c r="D31">
        <f>C31/B31</f>
        <v>2.8912633563796353E-2</v>
      </c>
    </row>
    <row r="32" spans="1:4">
      <c r="A32">
        <v>31</v>
      </c>
      <c r="B32">
        <v>1654</v>
      </c>
      <c r="C32" s="4">
        <f>B32-B31</f>
        <v>63</v>
      </c>
      <c r="D32">
        <f>C32/B32</f>
        <v>3.8089480048367597E-2</v>
      </c>
    </row>
    <row r="33" spans="1:4">
      <c r="A33">
        <v>32</v>
      </c>
      <c r="B33">
        <v>1712</v>
      </c>
      <c r="C33" s="4">
        <f>B33-B32</f>
        <v>58</v>
      </c>
      <c r="D33">
        <f>C33/B33</f>
        <v>3.3878504672897193E-2</v>
      </c>
    </row>
    <row r="34" spans="1:4">
      <c r="A34">
        <v>33</v>
      </c>
      <c r="B34">
        <v>1788</v>
      </c>
      <c r="C34" s="4">
        <f>B34-B33</f>
        <v>76</v>
      </c>
      <c r="D34">
        <f>C34/B34</f>
        <v>4.2505592841163314E-2</v>
      </c>
    </row>
    <row r="35" spans="1:4">
      <c r="A35">
        <v>34</v>
      </c>
      <c r="B35">
        <v>1860</v>
      </c>
      <c r="C35" s="4">
        <f>B35-B34</f>
        <v>72</v>
      </c>
      <c r="D35">
        <f>C35/B35</f>
        <v>3.870967741935484E-2</v>
      </c>
    </row>
    <row r="36" spans="1:4">
      <c r="A36">
        <v>35</v>
      </c>
      <c r="B36">
        <v>1936</v>
      </c>
      <c r="C36" s="4">
        <f>B36-B35</f>
        <v>76</v>
      </c>
      <c r="D36">
        <f>C36/B36</f>
        <v>3.9256198347107439E-2</v>
      </c>
    </row>
    <row r="37" spans="1:4">
      <c r="A37">
        <v>36</v>
      </c>
      <c r="B37">
        <v>2006</v>
      </c>
      <c r="C37" s="4">
        <f>B37-B36</f>
        <v>70</v>
      </c>
      <c r="D37">
        <f>C37/B37</f>
        <v>3.4895314057826518E-2</v>
      </c>
    </row>
    <row r="38" spans="1:4">
      <c r="A38">
        <v>37</v>
      </c>
      <c r="B38">
        <v>2072</v>
      </c>
      <c r="C38" s="4">
        <f>B38-B37</f>
        <v>66</v>
      </c>
      <c r="D38">
        <f>C38/B38</f>
        <v>3.1853281853281852E-2</v>
      </c>
    </row>
    <row r="39" spans="1:4">
      <c r="A39">
        <v>38</v>
      </c>
      <c r="B39">
        <v>2129</v>
      </c>
      <c r="C39" s="4">
        <f>B39-B38</f>
        <v>57</v>
      </c>
      <c r="D39">
        <f>C39/B39</f>
        <v>2.6773132926256459E-2</v>
      </c>
    </row>
    <row r="40" spans="1:4">
      <c r="C4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028CE-6673-4027-BEF5-12AF8B798EB9}">
  <dimension ref="A1:D18"/>
  <sheetViews>
    <sheetView tabSelected="1" zoomScale="115" zoomScaleNormal="115" workbookViewId="0">
      <selection activeCell="H14" sqref="H14"/>
    </sheetView>
  </sheetViews>
  <sheetFormatPr defaultRowHeight="15"/>
  <cols>
    <col min="1" max="1" width="13.28515625" bestFit="1" customWidth="1"/>
    <col min="2" max="2" width="13.42578125" bestFit="1" customWidth="1"/>
    <col min="4" max="4" width="17.140625" bestFit="1" customWidth="1"/>
  </cols>
  <sheetData>
    <row r="1" spans="1:4">
      <c r="A1" t="s">
        <v>4</v>
      </c>
      <c r="B1">
        <f>RegresjaLogistycznaObliczenia1!A30</f>
        <v>29</v>
      </c>
    </row>
    <row r="2" spans="1:4">
      <c r="A2" t="s">
        <v>5</v>
      </c>
      <c r="B2">
        <v>0.22775599999999999</v>
      </c>
      <c r="D2" t="s">
        <v>6</v>
      </c>
    </row>
    <row r="3" spans="1:4">
      <c r="A3" t="s">
        <v>7</v>
      </c>
      <c r="B3" s="5">
        <v>-1.26728E-4</v>
      </c>
      <c r="D3" t="s">
        <v>6</v>
      </c>
    </row>
    <row r="5" spans="1:4">
      <c r="A5" t="s">
        <v>8</v>
      </c>
      <c r="B5">
        <f>B2</f>
        <v>0.22775599999999999</v>
      </c>
    </row>
    <row r="6" spans="1:4">
      <c r="A6" t="s">
        <v>9</v>
      </c>
      <c r="B6">
        <f>-B5/B3</f>
        <v>1797.2034593775645</v>
      </c>
    </row>
    <row r="15" spans="1:4">
      <c r="A15" t="s">
        <v>10</v>
      </c>
      <c r="B15">
        <f>RegresjaLogistycznaObliczenia2!B5*SUM(RegresjaLogistycznaObliczenia1!A2:A30)</f>
        <v>99.073859999999996</v>
      </c>
    </row>
    <row r="17" spans="1:2">
      <c r="A17" t="s">
        <v>11</v>
      </c>
      <c r="B17">
        <f>(RegresjaLogistycznaObliczenia3!B31+B15)/RegresjaLogistycznaObliczenia2!B1</f>
        <v>3.5797744376100513</v>
      </c>
    </row>
    <row r="18" spans="1:2">
      <c r="A18" t="s">
        <v>12</v>
      </c>
      <c r="B18">
        <f>EXP(B17)</f>
        <v>35.865450037978796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C5649-59E4-4517-9588-E21A7A1BFB74}">
  <dimension ref="A1:B31"/>
  <sheetViews>
    <sheetView zoomScale="160" zoomScaleNormal="160" workbookViewId="0">
      <selection activeCell="F10" sqref="F10"/>
    </sheetView>
  </sheetViews>
  <sheetFormatPr defaultRowHeight="15"/>
  <cols>
    <col min="1" max="1" width="12" bestFit="1" customWidth="1"/>
    <col min="2" max="2" width="14.140625" bestFit="1" customWidth="1"/>
    <col min="3" max="3" width="11.42578125" bestFit="1" customWidth="1"/>
  </cols>
  <sheetData>
    <row r="1" spans="1:2">
      <c r="A1" t="s">
        <v>13</v>
      </c>
      <c r="B1" t="s">
        <v>14</v>
      </c>
    </row>
    <row r="2" spans="1:2">
      <c r="A2">
        <f>(RegresjaLogistycznaObliczenia2!$B$6/RegresjaLogistycznaObliczenia1!B2)-1</f>
        <v>16.972034593775646</v>
      </c>
      <c r="B2">
        <f>LN(A2)</f>
        <v>2.8315669656231557</v>
      </c>
    </row>
    <row r="3" spans="1:2">
      <c r="A3">
        <f>(RegresjaLogistycznaObliczenia2!$B$6/RegresjaLogistycznaObliczenia1!B3)-1</f>
        <v>11.102380197828717</v>
      </c>
      <c r="B3">
        <f>LN(A3)</f>
        <v>2.4071595175678038</v>
      </c>
    </row>
    <row r="4" spans="1:2">
      <c r="A4">
        <f>(RegresjaLogistycznaObliczenia2!$B$6/RegresjaLogistycznaObliczenia1!B4)-1</f>
        <v>8.1228601998861141</v>
      </c>
      <c r="B4">
        <f>LN(A4)</f>
        <v>2.0946823335164462</v>
      </c>
    </row>
    <row r="5" spans="1:2">
      <c r="A5">
        <f>(RegresjaLogistycznaObliczenia2!$B$6/RegresjaLogistycznaObliczenia1!B5)-1</f>
        <v>6.4264605759403493</v>
      </c>
      <c r="B5">
        <f>LN(A5)</f>
        <v>1.8604239319410243</v>
      </c>
    </row>
    <row r="6" spans="1:2">
      <c r="A6">
        <f>(RegresjaLogistycznaObliczenia2!$B$6/RegresjaLogistycznaObliczenia1!B6)-1</f>
        <v>4.8924703586149656</v>
      </c>
      <c r="B6">
        <f>LN(A6)</f>
        <v>1.5876973617342207</v>
      </c>
    </row>
    <row r="7" spans="1:2">
      <c r="A7">
        <f>(RegresjaLogistycznaObliczenia2!$B$6/RegresjaLogistycznaObliczenia1!B7)-1</f>
        <v>3.9922318316043457</v>
      </c>
      <c r="B7">
        <f>LN(A7)</f>
        <v>1.3843504308121701</v>
      </c>
    </row>
    <row r="8" spans="1:2">
      <c r="A8">
        <f>(RegresjaLogistycznaObliczenia2!$B$6/RegresjaLogistycznaObliczenia1!B8)-1</f>
        <v>3.1698456134050224</v>
      </c>
      <c r="B8">
        <f>LN(A8)</f>
        <v>1.153682884307297</v>
      </c>
    </row>
    <row r="9" spans="1:2">
      <c r="A9">
        <f>(RegresjaLogistycznaObliczenia2!$B$6/RegresjaLogistycznaObliczenia1!B9)-1</f>
        <v>2.7286378825260673</v>
      </c>
      <c r="B9">
        <f>LN(A9)</f>
        <v>1.0038025405531816</v>
      </c>
    </row>
    <row r="10" spans="1:2">
      <c r="A10">
        <f>(RegresjaLogistycznaObliczenia2!$B$6/RegresjaLogistycznaObliczenia1!B10)-1</f>
        <v>2.2676426534137537</v>
      </c>
      <c r="B10">
        <f>LN(A10)</f>
        <v>0.818740813228377</v>
      </c>
    </row>
    <row r="11" spans="1:2">
      <c r="A11">
        <f>(RegresjaLogistycznaObliczenia2!$B$6/RegresjaLogistycznaObliczenia1!B11)-1</f>
        <v>1.9559267423973101</v>
      </c>
      <c r="B11">
        <f>LN(A11)</f>
        <v>0.67086411814914204</v>
      </c>
    </row>
    <row r="12" spans="1:2">
      <c r="A12">
        <f>(RegresjaLogistycznaObliczenia2!$B$6/RegresjaLogistycznaObliczenia1!B12)-1</f>
        <v>1.6429462637905359</v>
      </c>
      <c r="B12">
        <f>LN(A12)</f>
        <v>0.49649113236722131</v>
      </c>
    </row>
    <row r="13" spans="1:2">
      <c r="A13">
        <f>(RegresjaLogistycznaObliczenia2!$B$6/RegresjaLogistycznaObliczenia1!B13)-1</f>
        <v>1.4319397285217383</v>
      </c>
      <c r="B13">
        <f>LN(A13)</f>
        <v>0.35902997863155373</v>
      </c>
    </row>
    <row r="14" spans="1:2">
      <c r="A14">
        <f>(RegresjaLogistycznaObliczenia2!$B$6/RegresjaLogistycznaObliczenia1!B14)-1</f>
        <v>1.2465043242219558</v>
      </c>
      <c r="B14">
        <f>LN(A14)</f>
        <v>0.22034309306647773</v>
      </c>
    </row>
    <row r="15" spans="1:2">
      <c r="A15">
        <f>(RegresjaLogistycznaObliczenia2!$B$6/RegresjaLogistycznaObliczenia1!B15)-1</f>
        <v>1.1268679992633901</v>
      </c>
      <c r="B15">
        <f>LN(A15)</f>
        <v>0.11944210243336492</v>
      </c>
    </row>
    <row r="16" spans="1:2">
      <c r="A16">
        <f>(RegresjaLogistycznaObliczenia2!$B$6/RegresjaLogistycznaObliczenia1!B16)-1</f>
        <v>0.99467642550229129</v>
      </c>
      <c r="B16">
        <f>LN(A16)</f>
        <v>-5.3377952129034E-3</v>
      </c>
    </row>
    <row r="17" spans="1:2">
      <c r="A17">
        <f>(RegresjaLogistycznaObliczenia2!$B$6/RegresjaLogistycznaObliczenia1!B17)-1</f>
        <v>0.8818884391388111</v>
      </c>
      <c r="B17">
        <f>LN(A17)</f>
        <v>-0.12568971721258007</v>
      </c>
    </row>
    <row r="18" spans="1:2">
      <c r="A18">
        <f>(RegresjaLogistycznaObliczenia2!$B$6/RegresjaLogistycznaObliczenia1!B18)-1</f>
        <v>0.78471048597573434</v>
      </c>
      <c r="B18">
        <f>LN(A18)</f>
        <v>-0.24244043690022893</v>
      </c>
    </row>
    <row r="19" spans="1:2">
      <c r="A19">
        <f>(RegresjaLogistycznaObliczenia2!$B$6/RegresjaLogistycznaObliczenia1!B19)-1</f>
        <v>0.70189721531966343</v>
      </c>
      <c r="B19">
        <f>LN(A19)</f>
        <v>-0.35396830259988649</v>
      </c>
    </row>
    <row r="20" spans="1:2">
      <c r="A20">
        <f>(RegresjaLogistycznaObliczenia2!$B$6/RegresjaLogistycznaObliczenia1!B20)-1</f>
        <v>0.61910221565546353</v>
      </c>
      <c r="B20">
        <f>LN(A20)</f>
        <v>-0.47948488963043018</v>
      </c>
    </row>
    <row r="21" spans="1:2">
      <c r="A21">
        <f>(RegresjaLogistycznaObliczenia2!$B$6/RegresjaLogistycznaObliczenia1!B21)-1</f>
        <v>0.55602031114940642</v>
      </c>
      <c r="B21">
        <f>LN(A21)</f>
        <v>-0.58695045455453354</v>
      </c>
    </row>
    <row r="22" spans="1:2">
      <c r="A22">
        <f>(RegresjaLogistycznaObliczenia2!$B$6/RegresjaLogistycznaObliczenia1!B22)-1</f>
        <v>0.51152519712158506</v>
      </c>
      <c r="B22">
        <f>LN(A22)</f>
        <v>-0.67035843356898028</v>
      </c>
    </row>
    <row r="23" spans="1:2">
      <c r="A23">
        <f>(RegresjaLogistycznaObliczenia2!$B$6/RegresjaLogistycznaObliczenia1!B23)-1</f>
        <v>0.46352073239215352</v>
      </c>
      <c r="B23">
        <f>LN(A23)</f>
        <v>-0.76890416489642877</v>
      </c>
    </row>
    <row r="24" spans="1:2">
      <c r="A24">
        <f>(RegresjaLogistycznaObliczenia2!$B$6/RegresjaLogistycznaObliczenia1!B24)-1</f>
        <v>0.40846666095420425</v>
      </c>
      <c r="B24">
        <f>LN(A24)</f>
        <v>-0.89534498134382989</v>
      </c>
    </row>
    <row r="25" spans="1:2">
      <c r="A25">
        <f>(RegresjaLogistycznaObliczenia2!$B$6/RegresjaLogistycznaObliczenia1!B25)-1</f>
        <v>0.36461917948182565</v>
      </c>
      <c r="B25">
        <f>LN(A25)</f>
        <v>-1.0089018139471659</v>
      </c>
    </row>
    <row r="26" spans="1:2">
      <c r="A26">
        <f>(RegresjaLogistycznaObliczenia2!$B$6/RegresjaLogistycznaObliczenia1!B26)-1</f>
        <v>0.33126182176115893</v>
      </c>
      <c r="B26">
        <f>LN(A26)</f>
        <v>-1.1048462139829445</v>
      </c>
    </row>
    <row r="27" spans="1:2">
      <c r="A27">
        <f>(RegresjaLogistycznaObliczenia2!$B$6/RegresjaLogistycznaObliczenia1!B27)-1</f>
        <v>0.29016759467161846</v>
      </c>
      <c r="B27">
        <f>LN(A27)</f>
        <v>-1.237296610268076</v>
      </c>
    </row>
    <row r="28" spans="1:2">
      <c r="A28">
        <f>(RegresjaLogistycznaObliczenia2!$B$6/RegresjaLogistycznaObliczenia1!B28)-1</f>
        <v>0.24719185244799768</v>
      </c>
      <c r="B28">
        <f>LN(A28)</f>
        <v>-1.397590513294533</v>
      </c>
    </row>
    <row r="29" spans="1:2">
      <c r="A29">
        <f>(RegresjaLogistycznaObliczenia2!$B$6/RegresjaLogistycznaObliczenia1!B29)-1</f>
        <v>0.20617681837420432</v>
      </c>
      <c r="B29">
        <f>LN(A29)</f>
        <v>-1.5790211367347164</v>
      </c>
    </row>
    <row r="30" spans="1:2">
      <c r="A30">
        <f>(RegresjaLogistycznaObliczenia2!$B$6/RegresjaLogistycznaObliczenia1!B30)-1</f>
        <v>0.16323848503402227</v>
      </c>
      <c r="B30">
        <f>LN(A30)</f>
        <v>-1.8125430490927046</v>
      </c>
    </row>
    <row r="31" spans="1:2">
      <c r="A31" t="s">
        <v>15</v>
      </c>
      <c r="B31">
        <f>SUM(B2:B30)</f>
        <v>4.7395986906914924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Płatkowski Zbigniew</dc:creator>
  <cp:keywords/>
  <dc:description/>
  <cp:lastModifiedBy>Płatkowski Zbigniew</cp:lastModifiedBy>
  <cp:revision/>
  <dcterms:created xsi:type="dcterms:W3CDTF">2026-01-22T21:19:12Z</dcterms:created>
  <dcterms:modified xsi:type="dcterms:W3CDTF">2026-01-23T09:30:27Z</dcterms:modified>
  <cp:category/>
  <cp:contentStatus/>
</cp:coreProperties>
</file>