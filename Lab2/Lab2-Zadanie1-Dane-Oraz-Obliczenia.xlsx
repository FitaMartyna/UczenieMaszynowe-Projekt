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studentwat-my.sharepoint.com/personal/u57266_student_wat_edu_pl/Documents/KOPIE DO SYNCHRONIZACJI/5. SEMESTR/MED/LABORATORIUM/LAB2/ZAD1/"/>
    </mc:Choice>
  </mc:AlternateContent>
  <xr:revisionPtr revIDLastSave="69" documentId="8_{EA16E8FC-FBEC-4593-82D7-8BCE3DF6EFFB}" xr6:coauthVersionLast="47" xr6:coauthVersionMax="47" xr10:uidLastSave="{23A04D00-04E4-44D5-AC4D-F75A358E6EC3}"/>
  <bookViews>
    <workbookView xWindow="0" yWindow="210" windowWidth="38070" windowHeight="20190" firstSheet="2" activeTab="2" xr2:uid="{2769B2A4-F351-C14C-BD8A-BF9D7B5A6A2C}"/>
  </bookViews>
  <sheets>
    <sheet name="Pelne" sheetId="1" r:id="rId1"/>
    <sheet name="Tylko_dane" sheetId="3" r:id="rId2"/>
    <sheet name="Obliczeni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7" i="4" s="1"/>
  <c r="E26" i="4"/>
  <c r="E27" i="4"/>
  <c r="E28" i="4"/>
  <c r="E29" i="4"/>
  <c r="E25" i="4"/>
  <c r="C3" i="4"/>
  <c r="C4" i="4"/>
  <c r="C5" i="4"/>
  <c r="C6" i="4"/>
  <c r="C2" i="4"/>
  <c r="D3" i="4"/>
  <c r="D4" i="4"/>
  <c r="D5" i="4"/>
  <c r="D6" i="4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7" i="4" l="1"/>
  <c r="E2" i="4"/>
  <c r="F2" i="4" s="1"/>
  <c r="G2" i="4" s="1"/>
  <c r="D32" i="4" s="1"/>
  <c r="C40" i="4" s="1" a="1"/>
  <c r="C40" i="4" s="1"/>
  <c r="E6" i="4"/>
  <c r="F6" i="4" s="1"/>
  <c r="G6" i="4" s="1"/>
  <c r="D36" i="4" s="1"/>
  <c r="E5" i="4"/>
  <c r="F5" i="4" s="1"/>
  <c r="G5" i="4" s="1"/>
  <c r="D35" i="4" s="1"/>
  <c r="E4" i="4"/>
  <c r="F4" i="4" s="1"/>
  <c r="G4" i="4" s="1"/>
  <c r="D34" i="4" s="1"/>
  <c r="E3" i="4"/>
  <c r="F3" i="4" s="1"/>
  <c r="G3" i="4" s="1"/>
  <c r="D3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<sst xmlns="http://schemas.openxmlformats.org/spreadsheetml/2006/main" count="80" uniqueCount="26">
  <si>
    <t>Rok_studiow</t>
  </si>
  <si>
    <t>Stan_cywilny</t>
  </si>
  <si>
    <t>Stan_cywilny_kod</t>
  </si>
  <si>
    <t>1 </t>
  </si>
  <si>
    <t>W </t>
  </si>
  <si>
    <t>2 </t>
  </si>
  <si>
    <t>5 </t>
  </si>
  <si>
    <t>M </t>
  </si>
  <si>
    <t>4 </t>
  </si>
  <si>
    <t>3 </t>
  </si>
  <si>
    <r>
      <t xml:space="preserve">Lp. </t>
    </r>
    <r>
      <rPr>
        <b/>
        <i/>
        <sz val="12"/>
        <color theme="1"/>
        <rFont val="Aptos Narrow"/>
        <family val="2"/>
        <scheme val="minor"/>
      </rPr>
      <t>t</t>
    </r>
  </si>
  <si>
    <r>
      <t xml:space="preserve">Rok studiów </t>
    </r>
    <r>
      <rPr>
        <b/>
        <i/>
        <sz val="12"/>
        <color theme="1"/>
        <rFont val="Aptos Narrow"/>
        <family val="2"/>
        <charset val="238"/>
        <scheme val="minor"/>
      </rPr>
      <t>x</t>
    </r>
    <r>
      <rPr>
        <b/>
        <i/>
        <vertAlign val="subscript"/>
        <sz val="12"/>
        <color theme="1"/>
        <rFont val="Aptos Narrow (Tekst podstawowy)"/>
        <charset val="238"/>
      </rPr>
      <t>t</t>
    </r>
  </si>
  <si>
    <r>
      <t xml:space="preserve">Liczba osób </t>
    </r>
    <r>
      <rPr>
        <b/>
        <i/>
        <sz val="12"/>
        <color theme="1"/>
        <rFont val="Aptos Narrow"/>
        <family val="2"/>
        <charset val="238"/>
        <scheme val="minor"/>
      </rPr>
      <t>o</t>
    </r>
    <r>
      <rPr>
        <b/>
        <i/>
        <vertAlign val="subscript"/>
        <sz val="12"/>
        <color theme="1"/>
        <rFont val="Aptos Narrow (Tekst podstawowy)"/>
        <charset val="238"/>
      </rPr>
      <t>t</t>
    </r>
  </si>
  <si>
    <r>
      <t xml:space="preserve">Liczba osób będących w związku małżeńskim </t>
    </r>
    <r>
      <rPr>
        <b/>
        <i/>
        <sz val="12"/>
        <color theme="1"/>
        <rFont val="Aptos Narrow"/>
        <family val="2"/>
        <charset val="238"/>
        <scheme val="minor"/>
      </rPr>
      <t>m</t>
    </r>
    <r>
      <rPr>
        <b/>
        <i/>
        <vertAlign val="subscript"/>
        <sz val="12"/>
        <color theme="1"/>
        <rFont val="Aptos Narrow (Tekst podstawowy)"/>
        <charset val="238"/>
      </rPr>
      <t>t</t>
    </r>
  </si>
  <si>
    <r>
      <t xml:space="preserve">Częstość empiryczna </t>
    </r>
    <r>
      <rPr>
        <b/>
        <i/>
        <sz val="12"/>
        <color theme="1"/>
        <rFont val="Aptos Narrow"/>
        <family val="2"/>
        <charset val="238"/>
        <scheme val="minor"/>
      </rPr>
      <t>p</t>
    </r>
    <r>
      <rPr>
        <b/>
        <i/>
        <vertAlign val="subscript"/>
        <sz val="12"/>
        <color theme="1"/>
        <rFont val="Aptos Narrow (Tekst podstawowy)"/>
        <charset val="238"/>
      </rPr>
      <t>t</t>
    </r>
    <r>
      <rPr>
        <b/>
        <i/>
        <sz val="12"/>
        <color theme="1"/>
        <rFont val="Aptos Narrow"/>
        <family val="2"/>
        <charset val="238"/>
        <scheme val="minor"/>
      </rPr>
      <t>=m</t>
    </r>
    <r>
      <rPr>
        <b/>
        <i/>
        <vertAlign val="subscript"/>
        <sz val="12"/>
        <color theme="1"/>
        <rFont val="Aptos Narrow (Tekst podstawowy)"/>
        <charset val="238"/>
      </rPr>
      <t>t</t>
    </r>
    <r>
      <rPr>
        <b/>
        <i/>
        <sz val="12"/>
        <color theme="1"/>
        <rFont val="Aptos Narrow"/>
        <family val="2"/>
        <charset val="238"/>
        <scheme val="minor"/>
      </rPr>
      <t>/o</t>
    </r>
    <r>
      <rPr>
        <b/>
        <i/>
        <vertAlign val="subscript"/>
        <sz val="12"/>
        <color theme="1"/>
        <rFont val="Aptos Narrow (Tekst podstawowy)"/>
        <charset val="238"/>
      </rPr>
      <t>t</t>
    </r>
  </si>
  <si>
    <r>
      <t>p</t>
    </r>
    <r>
      <rPr>
        <b/>
        <i/>
        <vertAlign val="subscript"/>
        <sz val="12"/>
        <color theme="1"/>
        <rFont val="Aptos Narrow (Tekst podstawowy)"/>
        <charset val="238"/>
      </rPr>
      <t>t</t>
    </r>
    <r>
      <rPr>
        <b/>
        <i/>
        <sz val="12"/>
        <color theme="1"/>
        <rFont val="Aptos Narrow"/>
        <family val="2"/>
        <charset val="238"/>
        <scheme val="minor"/>
      </rPr>
      <t>/(1-p</t>
    </r>
    <r>
      <rPr>
        <b/>
        <i/>
        <vertAlign val="subscript"/>
        <sz val="12"/>
        <color theme="1"/>
        <rFont val="Aptos Narrow (Tekst podstawowy)"/>
        <charset val="238"/>
      </rPr>
      <t>t</t>
    </r>
    <r>
      <rPr>
        <b/>
        <i/>
        <sz val="12"/>
        <color theme="1"/>
        <rFont val="Aptos Narrow (Tekst podstawowy)"/>
        <charset val="238"/>
      </rPr>
      <t>)</t>
    </r>
  </si>
  <si>
    <r>
      <t>L</t>
    </r>
    <r>
      <rPr>
        <b/>
        <i/>
        <vertAlign val="subscript"/>
        <sz val="12"/>
        <color theme="1"/>
        <rFont val="Aptos Narrow (Tekst podstawowy)"/>
        <charset val="238"/>
      </rPr>
      <t>t</t>
    </r>
    <r>
      <rPr>
        <b/>
        <i/>
        <sz val="12"/>
        <color theme="1"/>
        <rFont val="Aptos Narrow"/>
        <family val="2"/>
        <charset val="238"/>
        <scheme val="minor"/>
      </rPr>
      <t>=ln(p</t>
    </r>
    <r>
      <rPr>
        <b/>
        <i/>
        <vertAlign val="subscript"/>
        <sz val="12"/>
        <color theme="1"/>
        <rFont val="Aptos Narrow (Tekst podstawowy)"/>
        <charset val="238"/>
      </rPr>
      <t>t</t>
    </r>
    <r>
      <rPr>
        <b/>
        <i/>
        <sz val="12"/>
        <color theme="1"/>
        <rFont val="Aptos Narrow"/>
        <family val="2"/>
        <charset val="238"/>
        <scheme val="minor"/>
      </rPr>
      <t>/(1-p</t>
    </r>
    <r>
      <rPr>
        <b/>
        <i/>
        <vertAlign val="subscript"/>
        <sz val="12"/>
        <color theme="1"/>
        <rFont val="Aptos Narrow (Tekst podstawowy)"/>
        <charset val="238"/>
      </rPr>
      <t>t</t>
    </r>
    <r>
      <rPr>
        <b/>
        <i/>
        <sz val="12"/>
        <color theme="1"/>
        <rFont val="Aptos Narrow (Tekst podstawowy)"/>
        <charset val="238"/>
      </rPr>
      <t>))</t>
    </r>
  </si>
  <si>
    <t>Suma=</t>
  </si>
  <si>
    <t>x</t>
  </si>
  <si>
    <t>Chcemy zbudować model, który pozwoli na oszacowanie prawdopodobieństwa p bycia w związku małżeńskim przez osobę na danym roku studiów</t>
  </si>
  <si>
    <t>X - zmienna oznaczająca rok studiów</t>
  </si>
  <si>
    <t>`</t>
  </si>
  <si>
    <r>
      <rPr>
        <b/>
        <sz val="12"/>
        <color theme="1"/>
        <rFont val="Aptos Narrow"/>
        <family val="2"/>
        <scheme val="minor"/>
      </rPr>
      <t>X</t>
    </r>
    <r>
      <rPr>
        <sz val="12"/>
        <color theme="1"/>
        <rFont val="Aptos Narrow"/>
        <family val="2"/>
        <charset val="238"/>
        <scheme val="minor"/>
      </rPr>
      <t>=</t>
    </r>
  </si>
  <si>
    <t>=</t>
  </si>
  <si>
    <r>
      <rPr>
        <b/>
        <sz val="12"/>
        <color theme="1"/>
        <rFont val="Aptos Narrow"/>
        <family val="2"/>
        <scheme val="minor"/>
      </rPr>
      <t>L</t>
    </r>
    <r>
      <rPr>
        <sz val="12"/>
        <color theme="1"/>
        <rFont val="Aptos Narrow"/>
        <family val="2"/>
        <charset val="238"/>
        <scheme val="minor"/>
      </rPr>
      <t>=</t>
    </r>
  </si>
  <si>
    <t>Trochę inne wyniki niż w gretlu, bo (kolor żółty)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</si>
</sst>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2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sz val="11"/>
      <color rgb="FF000000"/>
      <name val="Aptos"/>
      <family val="2"/>
    </font>
    <font>
      <sz val="12"/>
      <color rgb="FF000000"/>
      <name val="Aptos"/>
      <family val="2"/>
    </font>
    <font>
      <b/>
      <sz val="12"/>
      <color theme="1"/>
      <name val="Aptos Narrow"/>
      <family val="2"/>
      <charset val="238"/>
      <scheme val="minor"/>
    </font>
    <font>
      <b/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charset val="238"/>
      <scheme val="minor"/>
    </font>
    <font>
      <b/>
      <i/>
      <vertAlign val="subscript"/>
      <sz val="12"/>
      <color theme="1"/>
      <name val="Aptos Narrow (Tekst podstawowy)"/>
      <charset val="238"/>
    </font>
    <font>
      <b/>
      <i/>
      <sz val="12"/>
      <color theme="1"/>
      <name val="Aptos Narrow (Tekst podstawowy)"/>
      <charset val="238"/>
    </font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1007415</xdr:colOff>
      <xdr:row>21</xdr:row>
      <xdr:rowOff>146242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763A39AF-AD85-B6F1-D613-E10EB75C4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515" y="2232121"/>
          <a:ext cx="2038809" cy="546485"/>
        </a:xfrm>
        <a:prstGeom prst="rect">
          <a:avLst/>
        </a:prstGeom>
      </xdr:spPr>
    </xdr:pic>
    <xdr:clientData/>
  </xdr:twoCellAnchor>
  <xdr:oneCellAnchor>
    <xdr:from>
      <xdr:col>1</xdr:col>
      <xdr:colOff>274012</xdr:colOff>
      <xdr:row>26</xdr:row>
      <xdr:rowOff>12315</xdr:rowOff>
    </xdr:from>
    <xdr:ext cx="65774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pole tekstowe 9">
              <a:extLst>
                <a:ext uri="{FF2B5EF4-FFF2-40B4-BE49-F238E27FC236}">
                  <a16:creationId xmlns:a16="http://schemas.microsoft.com/office/drawing/2014/main" id="{43174770-55E2-21D4-9773-1BF9AB5DE85B}"/>
                </a:ext>
              </a:extLst>
            </xdr:cNvPr>
            <xdr:cNvSpPr txBox="1"/>
          </xdr:nvSpPr>
          <xdr:spPr>
            <a:xfrm>
              <a:off x="997527" y="3245042"/>
              <a:ext cx="6577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m>
                      <m:mPr>
                        <m:mcs>
                          <m:mc>
                            <m:mcPr>
                              <m:count m:val="2"/>
                              <m:mcJc m:val="center"/>
                            </m:mcPr>
                          </m:mc>
                        </m:mcs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mPr>
                      <m:mr>
                        <m:e>
                          <m:r>
                            <m:rPr>
                              <m:brk m:alnAt="7"/>
                            </m:rPr>
                            <a:rPr lang="pl-PL" sz="1100" b="0" i="1">
                              <a:latin typeface="Cambria Math" panose="02040503050406030204" pitchFamily="18" charset="0"/>
                            </a:rPr>
                            <m:t>[</m:t>
                          </m:r>
                          <m:r>
                            <a:rPr lang="pl-PL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e>
                        <m:e>
                          <m:sSub>
                            <m:sSubPr>
                              <m:ctrlPr>
                                <a:rPr lang="pl-PL" sz="11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sSub>
                                <m:sSubPr>
                                  <m:ctrlPr>
                                    <a:rPr lang="pl-PL" sz="11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pl-PL" sz="1100" b="0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pl-PL" sz="1100" b="0" i="1">
                                      <a:latin typeface="Cambria Math" panose="02040503050406030204" pitchFamily="18" charset="0"/>
                                    </a:rPr>
                                    <m:t>𝑡</m:t>
                                  </m:r>
                                </m:sub>
                              </m:sSub>
                              <m:r>
                                <a:rPr lang="pl-PL" sz="1100" b="0" i="1">
                                  <a:latin typeface="Cambria Math" panose="02040503050406030204" pitchFamily="18" charset="0"/>
                                </a:rPr>
                                <m:t>]</m:t>
                              </m:r>
                            </m:e>
                            <m:sub>
                              <m:r>
                                <a:rPr lang="pl-PL" sz="1100" b="0" i="1">
                                  <a:latin typeface="Cambria Math" panose="02040503050406030204" pitchFamily="18" charset="0"/>
                                </a:rPr>
                                <m:t>5</m:t>
                              </m:r>
                              <m:r>
                                <a:rPr lang="pl-PL" sz="1100" b="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  <m:r>
                                <a:rPr lang="pl-PL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b>
                          </m:sSub>
                        </m:e>
                      </m:mr>
                    </m:m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0" name="pole tekstowe 9">
              <a:extLst>
                <a:ext uri="{FF2B5EF4-FFF2-40B4-BE49-F238E27FC236}">
                  <a16:creationId xmlns:a16="http://schemas.microsoft.com/office/drawing/2014/main" id="{43174770-55E2-21D4-9773-1BF9AB5DE85B}"/>
                </a:ext>
              </a:extLst>
            </xdr:cNvPr>
            <xdr:cNvSpPr txBox="1"/>
          </xdr:nvSpPr>
          <xdr:spPr>
            <a:xfrm>
              <a:off x="997527" y="3245042"/>
              <a:ext cx="65774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i="0">
                  <a:latin typeface="Cambria Math" panose="02040503050406030204" pitchFamily="18" charset="0"/>
                </a:rPr>
                <a:t>■8(</a:t>
              </a:r>
              <a:r>
                <a:rPr lang="pl-PL" sz="1100" b="0" i="0">
                  <a:latin typeface="Cambria Math" panose="02040503050406030204" pitchFamily="18" charset="0"/>
                </a:rPr>
                <a:t>[1&amp;〖𝑥_𝑡]〗_5𝑥2 )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1</xdr:col>
      <xdr:colOff>341395</xdr:colOff>
      <xdr:row>33</xdr:row>
      <xdr:rowOff>9894</xdr:rowOff>
    </xdr:from>
    <xdr:ext cx="43986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pole tekstowe 12">
              <a:extLst>
                <a:ext uri="{FF2B5EF4-FFF2-40B4-BE49-F238E27FC236}">
                  <a16:creationId xmlns:a16="http://schemas.microsoft.com/office/drawing/2014/main" id="{560E04DA-7293-69C9-FCB7-4023CA984FD4}"/>
                </a:ext>
              </a:extLst>
            </xdr:cNvPr>
            <xdr:cNvSpPr txBox="1"/>
          </xdr:nvSpPr>
          <xdr:spPr>
            <a:xfrm>
              <a:off x="1067109" y="4479634"/>
              <a:ext cx="43986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]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3" name="pole tekstowe 12">
              <a:extLst>
                <a:ext uri="{FF2B5EF4-FFF2-40B4-BE49-F238E27FC236}">
                  <a16:creationId xmlns:a16="http://schemas.microsoft.com/office/drawing/2014/main" id="{560E04DA-7293-69C9-FCB7-4023CA984FD4}"/>
                </a:ext>
              </a:extLst>
            </xdr:cNvPr>
            <xdr:cNvSpPr txBox="1"/>
          </xdr:nvSpPr>
          <xdr:spPr>
            <a:xfrm>
              <a:off x="1067109" y="4479634"/>
              <a:ext cx="43986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i="0">
                  <a:latin typeface="Cambria Math" panose="02040503050406030204" pitchFamily="18" charset="0"/>
                </a:rPr>
                <a:t>〖</a:t>
              </a:r>
              <a:r>
                <a:rPr lang="pl-PL" sz="1100" b="0" i="0">
                  <a:latin typeface="Cambria Math" panose="02040503050406030204" pitchFamily="18" charset="0"/>
                </a:rPr>
                <a:t>[𝐿〗_𝑡 ]_5𝑥1</a:t>
              </a:r>
              <a:endParaRPr lang="pl-PL" sz="1100"/>
            </a:p>
          </xdr:txBody>
        </xdr:sp>
      </mc:Fallback>
    </mc:AlternateContent>
    <xdr:clientData/>
  </xdr:oneCellAnchor>
  <xdr:twoCellAnchor editAs="oneCell">
    <xdr:from>
      <xdr:col>1</xdr:col>
      <xdr:colOff>0</xdr:colOff>
      <xdr:row>11</xdr:row>
      <xdr:rowOff>0</xdr:rowOff>
    </xdr:from>
    <xdr:to>
      <xdr:col>3</xdr:col>
      <xdr:colOff>305110</xdr:colOff>
      <xdr:row>14</xdr:row>
      <xdr:rowOff>18276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75C5D707-C97F-0340-B560-0BCF21682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927" y="2245732"/>
          <a:ext cx="2349500" cy="622300"/>
        </a:xfrm>
        <a:prstGeom prst="rect">
          <a:avLst/>
        </a:prstGeom>
      </xdr:spPr>
    </xdr:pic>
    <xdr:clientData/>
  </xdr:twoCellAnchor>
  <xdr:oneCellAnchor>
    <xdr:from>
      <xdr:col>7</xdr:col>
      <xdr:colOff>121976</xdr:colOff>
      <xdr:row>30</xdr:row>
      <xdr:rowOff>114997</xdr:rowOff>
    </xdr:from>
    <xdr:ext cx="65" cy="172227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624797E2-0375-4753-39A1-99935A52CEC7}"/>
            </a:ext>
          </a:extLst>
        </xdr:cNvPr>
        <xdr:cNvSpPr txBox="1"/>
      </xdr:nvSpPr>
      <xdr:spPr>
        <a:xfrm>
          <a:off x="11314723" y="640917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 sz="1100"/>
        </a:p>
      </xdr:txBody>
    </xdr:sp>
    <xdr:clientData/>
  </xdr:oneCellAnchor>
  <xdr:oneCellAnchor>
    <xdr:from>
      <xdr:col>0</xdr:col>
      <xdr:colOff>672061</xdr:colOff>
      <xdr:row>39</xdr:row>
      <xdr:rowOff>14081</xdr:rowOff>
    </xdr:from>
    <xdr:ext cx="563233" cy="4088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pole tekstowe 18">
              <a:extLst>
                <a:ext uri="{FF2B5EF4-FFF2-40B4-BE49-F238E27FC236}">
                  <a16:creationId xmlns:a16="http://schemas.microsoft.com/office/drawing/2014/main" id="{288CF572-C83F-807B-65EB-022B806F8A97}"/>
                </a:ext>
              </a:extLst>
            </xdr:cNvPr>
            <xdr:cNvSpPr txBox="1"/>
          </xdr:nvSpPr>
          <xdr:spPr>
            <a:xfrm>
              <a:off x="672061" y="7732615"/>
              <a:ext cx="563233" cy="408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m>
                      <m:mPr>
                        <m:mcs>
                          <m:mc>
                            <m:mcPr>
                              <m:count m:val="1"/>
                              <m:mcJc m:val="center"/>
                            </m:mcPr>
                          </m:mc>
                        </m:mcs>
                        <m:ctrlPr>
                          <a:rPr lang="pl-PL" sz="1400" i="1">
                            <a:latin typeface="Cambria Math" panose="02040503050406030204" pitchFamily="18" charset="0"/>
                          </a:rPr>
                        </m:ctrlPr>
                      </m:mPr>
                      <m:mr>
                        <m:e>
                          <m:sSub>
                            <m:sSubPr>
                              <m:ctrlPr>
                                <a:rPr lang="pl-PL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pl-PL" sz="1400" b="0" i="1">
                                  <a:latin typeface="Cambria Math" panose="02040503050406030204" pitchFamily="18" charset="0"/>
                                </a:rPr>
                                <m:t>𝑏</m:t>
                              </m:r>
                            </m:e>
                            <m:sub>
                              <m:r>
                                <a:rPr lang="pl-PL" sz="1400" b="0" i="1">
                                  <a:latin typeface="Cambria Math" panose="02040503050406030204" pitchFamily="18" charset="0"/>
                                </a:rPr>
                                <m:t>0</m:t>
                              </m:r>
                            </m:sub>
                          </m:sSub>
                          <m:r>
                            <a:rPr lang="pl-PL" sz="1400" b="0" i="1">
                              <a:latin typeface="Cambria Math" panose="02040503050406030204" pitchFamily="18" charset="0"/>
                            </a:rPr>
                            <m:t>=</m:t>
                          </m:r>
                        </m:e>
                      </m:mr>
                      <m:mr>
                        <m:e>
                          <m:sSub>
                            <m:sSubPr>
                              <m:ctrlPr>
                                <a:rPr lang="pl-PL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pl-PL" sz="1400" b="0" i="1">
                                  <a:latin typeface="Cambria Math" panose="02040503050406030204" pitchFamily="18" charset="0"/>
                                </a:rPr>
                                <m:t>𝑏</m:t>
                              </m:r>
                            </m:e>
                            <m:sub>
                              <m:r>
                                <a:rPr lang="pl-PL" sz="14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b>
                          </m:sSub>
                          <m:r>
                            <a:rPr lang="pl-PL" sz="1400" b="0" i="1">
                              <a:latin typeface="Cambria Math" panose="02040503050406030204" pitchFamily="18" charset="0"/>
                            </a:rPr>
                            <m:t>=</m:t>
                          </m:r>
                        </m:e>
                      </m:mr>
                    </m:m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19" name="pole tekstowe 18">
              <a:extLst>
                <a:ext uri="{FF2B5EF4-FFF2-40B4-BE49-F238E27FC236}">
                  <a16:creationId xmlns:a16="http://schemas.microsoft.com/office/drawing/2014/main" id="{288CF572-C83F-807B-65EB-022B806F8A97}"/>
                </a:ext>
              </a:extLst>
            </xdr:cNvPr>
            <xdr:cNvSpPr txBox="1"/>
          </xdr:nvSpPr>
          <xdr:spPr>
            <a:xfrm>
              <a:off x="672061" y="7732615"/>
              <a:ext cx="563233" cy="4088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l-PL" sz="1400" i="0">
                  <a:latin typeface="Cambria Math" panose="02040503050406030204" pitchFamily="18" charset="0"/>
                </a:rPr>
                <a:t>■8(</a:t>
              </a:r>
              <a:r>
                <a:rPr lang="pl-PL" sz="1400" b="0" i="0">
                  <a:latin typeface="Cambria Math" panose="02040503050406030204" pitchFamily="18" charset="0"/>
                </a:rPr>
                <a:t>𝑏_0=@𝑏_1=)</a:t>
              </a:r>
              <a:endParaRPr lang="pl-PL" sz="1400"/>
            </a:p>
          </xdr:txBody>
        </xdr:sp>
      </mc:Fallback>
    </mc:AlternateContent>
    <xdr:clientData/>
  </xdr:oneCellAnchor>
  <xdr:twoCellAnchor editAs="oneCell">
    <xdr:from>
      <xdr:col>7</xdr:col>
      <xdr:colOff>0</xdr:colOff>
      <xdr:row>47</xdr:row>
      <xdr:rowOff>0</xdr:rowOff>
    </xdr:from>
    <xdr:to>
      <xdr:col>16</xdr:col>
      <xdr:colOff>336353</xdr:colOff>
      <xdr:row>54</xdr:row>
      <xdr:rowOff>108259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8CA0852-2A1E-374A-A790-9A9764A0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95538" y="9222154"/>
          <a:ext cx="7721892" cy="1475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2CA3-C048-DE46-85D0-861588B999E0}">
  <dimension ref="A1:Q33"/>
  <sheetViews>
    <sheetView workbookViewId="0">
      <selection activeCell="B46" sqref="B46"/>
    </sheetView>
  </sheetViews>
  <sheetFormatPr defaultColWidth="10.875" defaultRowHeight="15.75"/>
  <cols>
    <col min="1" max="1" width="21.875" style="1" customWidth="1"/>
    <col min="2" max="2" width="20.375" style="1" customWidth="1"/>
    <col min="3" max="3" width="27.125" style="1" customWidth="1"/>
    <col min="4" max="16384" width="10.875" style="1"/>
  </cols>
  <sheetData>
    <row r="1" spans="1:17">
      <c r="A1" s="1" t="s">
        <v>0</v>
      </c>
      <c r="B1" s="1" t="s">
        <v>1</v>
      </c>
      <c r="C1" s="1" t="s">
        <v>2</v>
      </c>
    </row>
    <row r="2" spans="1:17">
      <c r="A2" s="2" t="s">
        <v>3</v>
      </c>
      <c r="B2" s="2" t="s">
        <v>4</v>
      </c>
      <c r="C2" s="2">
        <f>IF(B2="W ",0,1)</f>
        <v>0</v>
      </c>
      <c r="D2" s="2"/>
      <c r="E2" s="2"/>
      <c r="G2" s="2"/>
      <c r="H2" s="2"/>
      <c r="I2" s="2"/>
      <c r="J2" s="2"/>
      <c r="K2" s="2"/>
      <c r="L2" s="2"/>
      <c r="M2" s="2"/>
      <c r="N2" s="2"/>
      <c r="O2" s="2"/>
    </row>
    <row r="3" spans="1:17">
      <c r="A3" s="2" t="s">
        <v>5</v>
      </c>
      <c r="B3" s="2" t="s">
        <v>4</v>
      </c>
      <c r="C3" s="2">
        <f t="shared" ref="C3:C29" si="0">IF(B3="W ",0,1)</f>
        <v>0</v>
      </c>
      <c r="D3" s="2"/>
      <c r="E3" s="2"/>
      <c r="G3" s="2"/>
      <c r="H3" s="2"/>
      <c r="I3" s="2"/>
      <c r="J3" s="2"/>
      <c r="K3" s="2"/>
      <c r="L3" s="2"/>
      <c r="M3" s="2"/>
      <c r="N3" s="2"/>
    </row>
    <row r="4" spans="1:17">
      <c r="A4" s="2" t="s">
        <v>6</v>
      </c>
      <c r="B4" s="2" t="s">
        <v>7</v>
      </c>
      <c r="C4" s="2">
        <f t="shared" si="0"/>
        <v>1</v>
      </c>
    </row>
    <row r="5" spans="1:17">
      <c r="A5" s="2" t="s">
        <v>3</v>
      </c>
      <c r="B5" s="2" t="s">
        <v>4</v>
      </c>
      <c r="C5" s="2">
        <f t="shared" si="0"/>
        <v>0</v>
      </c>
      <c r="E5" s="3"/>
    </row>
    <row r="6" spans="1:17">
      <c r="A6" s="2" t="s">
        <v>8</v>
      </c>
      <c r="B6" s="2" t="s">
        <v>7</v>
      </c>
      <c r="C6" s="2">
        <f t="shared" si="0"/>
        <v>1</v>
      </c>
      <c r="E6" s="2"/>
    </row>
    <row r="7" spans="1:17">
      <c r="A7" s="2" t="s">
        <v>9</v>
      </c>
      <c r="B7" s="2" t="s">
        <v>4</v>
      </c>
      <c r="C7" s="2">
        <f t="shared" si="0"/>
        <v>0</v>
      </c>
      <c r="E7" s="2"/>
    </row>
    <row r="8" spans="1:17">
      <c r="A8" s="2" t="s">
        <v>5</v>
      </c>
      <c r="B8" s="2" t="s">
        <v>7</v>
      </c>
      <c r="C8" s="2">
        <f t="shared" si="0"/>
        <v>1</v>
      </c>
      <c r="E8" s="2"/>
    </row>
    <row r="9" spans="1:17">
      <c r="A9" s="2" t="s">
        <v>3</v>
      </c>
      <c r="B9" s="2" t="s">
        <v>4</v>
      </c>
      <c r="C9" s="2">
        <f t="shared" si="0"/>
        <v>0</v>
      </c>
      <c r="E9" s="2"/>
    </row>
    <row r="10" spans="1:17">
      <c r="A10" s="2" t="s">
        <v>6</v>
      </c>
      <c r="B10" s="2" t="s">
        <v>7</v>
      </c>
      <c r="C10" s="2">
        <f t="shared" si="0"/>
        <v>1</v>
      </c>
      <c r="E10" s="2"/>
    </row>
    <row r="11" spans="1:17">
      <c r="A11" s="2" t="s">
        <v>5</v>
      </c>
      <c r="B11" s="2" t="s">
        <v>4</v>
      </c>
      <c r="C11" s="2">
        <f t="shared" si="0"/>
        <v>0</v>
      </c>
      <c r="E11" s="2"/>
    </row>
    <row r="12" spans="1:17">
      <c r="A12" s="2" t="s">
        <v>9</v>
      </c>
      <c r="B12" s="2" t="s">
        <v>7</v>
      </c>
      <c r="C12" s="2">
        <f t="shared" si="0"/>
        <v>1</v>
      </c>
      <c r="E12" s="2"/>
    </row>
    <row r="13" spans="1:17">
      <c r="A13" s="2" t="s">
        <v>8</v>
      </c>
      <c r="B13" s="2" t="s">
        <v>7</v>
      </c>
      <c r="C13" s="2">
        <f t="shared" si="0"/>
        <v>1</v>
      </c>
      <c r="E13" s="2"/>
    </row>
    <row r="14" spans="1:17">
      <c r="A14" s="2" t="s">
        <v>3</v>
      </c>
      <c r="B14" s="2" t="s">
        <v>4</v>
      </c>
      <c r="C14" s="2">
        <f t="shared" si="0"/>
        <v>0</v>
      </c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</row>
    <row r="15" spans="1:17">
      <c r="A15" s="2" t="s">
        <v>5</v>
      </c>
      <c r="B15" s="2" t="s">
        <v>4</v>
      </c>
      <c r="C15" s="2">
        <f t="shared" si="0"/>
        <v>0</v>
      </c>
      <c r="D15" s="2"/>
      <c r="E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6</v>
      </c>
      <c r="B16" s="2" t="s">
        <v>7</v>
      </c>
      <c r="C16" s="2">
        <f t="shared" si="0"/>
        <v>1</v>
      </c>
      <c r="E16" s="2"/>
    </row>
    <row r="17" spans="1:17">
      <c r="A17" s="2" t="s">
        <v>8</v>
      </c>
      <c r="B17" s="2" t="s">
        <v>7</v>
      </c>
      <c r="C17" s="2">
        <f t="shared" si="0"/>
        <v>1</v>
      </c>
      <c r="D17" s="2"/>
      <c r="E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 t="s">
        <v>9</v>
      </c>
      <c r="B18" s="2" t="s">
        <v>7</v>
      </c>
      <c r="C18" s="2">
        <f t="shared" si="0"/>
        <v>1</v>
      </c>
      <c r="E18" s="2"/>
    </row>
    <row r="19" spans="1:17">
      <c r="A19" s="2" t="s">
        <v>3</v>
      </c>
      <c r="B19" s="2" t="s">
        <v>7</v>
      </c>
      <c r="C19" s="2">
        <f t="shared" si="0"/>
        <v>1</v>
      </c>
      <c r="E19" s="2"/>
    </row>
    <row r="20" spans="1:17">
      <c r="A20" s="2" t="s">
        <v>8</v>
      </c>
      <c r="B20" s="2" t="s">
        <v>7</v>
      </c>
      <c r="C20" s="2">
        <f t="shared" si="0"/>
        <v>1</v>
      </c>
      <c r="E20" s="2"/>
    </row>
    <row r="21" spans="1:17">
      <c r="A21" s="2" t="s">
        <v>6</v>
      </c>
      <c r="B21" s="2" t="s">
        <v>4</v>
      </c>
      <c r="C21" s="2">
        <f t="shared" si="0"/>
        <v>0</v>
      </c>
      <c r="E21" s="2"/>
    </row>
    <row r="22" spans="1:17">
      <c r="A22" s="2" t="s">
        <v>5</v>
      </c>
      <c r="B22" s="2" t="s">
        <v>4</v>
      </c>
      <c r="C22" s="2">
        <f t="shared" si="0"/>
        <v>0</v>
      </c>
      <c r="E22" s="2"/>
    </row>
    <row r="23" spans="1:17">
      <c r="A23" s="2" t="s">
        <v>6</v>
      </c>
      <c r="B23" s="2" t="s">
        <v>7</v>
      </c>
      <c r="C23" s="2">
        <f t="shared" si="0"/>
        <v>1</v>
      </c>
      <c r="E23" s="2"/>
    </row>
    <row r="24" spans="1:17">
      <c r="A24" s="2" t="s">
        <v>9</v>
      </c>
      <c r="B24" s="2" t="s">
        <v>4</v>
      </c>
      <c r="C24" s="2">
        <f t="shared" si="0"/>
        <v>0</v>
      </c>
      <c r="E24" s="2"/>
    </row>
    <row r="25" spans="1:17">
      <c r="A25" s="2" t="s">
        <v>8</v>
      </c>
      <c r="B25" s="2" t="s">
        <v>4</v>
      </c>
      <c r="C25" s="2">
        <f t="shared" si="0"/>
        <v>0</v>
      </c>
      <c r="E25" s="2"/>
    </row>
    <row r="26" spans="1:17">
      <c r="A26" s="2" t="s">
        <v>9</v>
      </c>
      <c r="B26" s="2" t="s">
        <v>7</v>
      </c>
      <c r="C26" s="2">
        <f t="shared" si="0"/>
        <v>1</v>
      </c>
      <c r="E26" s="2"/>
    </row>
    <row r="27" spans="1:17">
      <c r="A27" s="2" t="s">
        <v>5</v>
      </c>
      <c r="B27" s="2" t="s">
        <v>4</v>
      </c>
      <c r="C27" s="2">
        <f t="shared" si="0"/>
        <v>0</v>
      </c>
      <c r="E27" s="2"/>
    </row>
    <row r="28" spans="1:17">
      <c r="A28" s="2" t="s">
        <v>6</v>
      </c>
      <c r="B28" s="2" t="s">
        <v>7</v>
      </c>
      <c r="C28" s="2">
        <f t="shared" si="0"/>
        <v>1</v>
      </c>
      <c r="E28" s="2"/>
    </row>
    <row r="29" spans="1:17">
      <c r="A29" s="2" t="s">
        <v>3</v>
      </c>
      <c r="B29" s="2" t="s">
        <v>4</v>
      </c>
      <c r="C29" s="2">
        <f t="shared" si="0"/>
        <v>0</v>
      </c>
      <c r="E29" s="2"/>
    </row>
    <row r="30" spans="1:17">
      <c r="E30" s="2"/>
    </row>
    <row r="31" spans="1:17">
      <c r="E31" s="2"/>
    </row>
    <row r="32" spans="1:17">
      <c r="E32" s="2"/>
    </row>
    <row r="33" spans="5:5">
      <c r="E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FFD8-3B79-7E44-B89F-3B3EE05F3C31}">
  <dimension ref="A1:D30"/>
  <sheetViews>
    <sheetView zoomScale="117" workbookViewId="0">
      <selection activeCell="D11" sqref="D11"/>
    </sheetView>
  </sheetViews>
  <sheetFormatPr defaultColWidth="11" defaultRowHeight="15.75"/>
  <cols>
    <col min="1" max="1" width="12.375" bestFit="1" customWidth="1"/>
    <col min="2" max="2" width="16.75" bestFit="1" customWidth="1"/>
    <col min="4" max="32" width="11" customWidth="1"/>
  </cols>
  <sheetData>
    <row r="1" spans="1:4">
      <c r="A1" s="1" t="s">
        <v>0</v>
      </c>
      <c r="B1" s="1" t="s">
        <v>2</v>
      </c>
    </row>
    <row r="2" spans="1:4">
      <c r="A2" s="3">
        <v>1</v>
      </c>
      <c r="B2" s="3">
        <v>0</v>
      </c>
    </row>
    <row r="3" spans="1:4">
      <c r="A3" s="3">
        <v>2</v>
      </c>
      <c r="B3" s="3">
        <v>0</v>
      </c>
    </row>
    <row r="4" spans="1:4">
      <c r="A4" s="3">
        <v>5</v>
      </c>
      <c r="B4" s="1">
        <v>1</v>
      </c>
    </row>
    <row r="5" spans="1:4">
      <c r="A5" s="3">
        <v>1</v>
      </c>
      <c r="B5" s="1">
        <v>0</v>
      </c>
    </row>
    <row r="6" spans="1:4">
      <c r="A6" s="3">
        <v>4</v>
      </c>
      <c r="B6" s="1">
        <v>1</v>
      </c>
    </row>
    <row r="7" spans="1:4">
      <c r="A7" s="3">
        <v>3</v>
      </c>
      <c r="B7" s="1">
        <v>0</v>
      </c>
    </row>
    <row r="8" spans="1:4">
      <c r="A8" s="3">
        <v>2</v>
      </c>
      <c r="B8" s="1">
        <v>1</v>
      </c>
    </row>
    <row r="9" spans="1:4">
      <c r="A9" s="3">
        <v>1</v>
      </c>
      <c r="B9" s="1">
        <v>0</v>
      </c>
    </row>
    <row r="10" spans="1:4">
      <c r="A10" s="3">
        <v>5</v>
      </c>
      <c r="B10" s="1">
        <v>1</v>
      </c>
    </row>
    <row r="11" spans="1:4">
      <c r="A11" s="3">
        <v>2</v>
      </c>
      <c r="B11" s="1">
        <v>0</v>
      </c>
    </row>
    <row r="12" spans="1:4">
      <c r="A12" s="3">
        <v>3</v>
      </c>
      <c r="B12" s="1">
        <v>1</v>
      </c>
    </row>
    <row r="13" spans="1:4">
      <c r="A13" s="3">
        <v>4</v>
      </c>
      <c r="B13" s="1">
        <v>1</v>
      </c>
    </row>
    <row r="14" spans="1:4">
      <c r="A14" s="3">
        <v>1</v>
      </c>
      <c r="B14" s="3">
        <v>0</v>
      </c>
      <c r="D14" s="1"/>
    </row>
    <row r="15" spans="1:4">
      <c r="A15" s="3">
        <v>2</v>
      </c>
      <c r="B15" s="3">
        <v>0</v>
      </c>
      <c r="D15" s="1"/>
    </row>
    <row r="16" spans="1:4">
      <c r="A16" s="3">
        <v>5</v>
      </c>
      <c r="B16" s="1">
        <v>1</v>
      </c>
    </row>
    <row r="17" spans="1:2">
      <c r="A17" s="3">
        <v>4</v>
      </c>
      <c r="B17" s="3">
        <v>1</v>
      </c>
    </row>
    <row r="18" spans="1:2">
      <c r="A18" s="3">
        <v>3</v>
      </c>
      <c r="B18" s="1">
        <v>1</v>
      </c>
    </row>
    <row r="19" spans="1:2">
      <c r="A19" s="3">
        <v>1</v>
      </c>
      <c r="B19" s="1">
        <v>1</v>
      </c>
    </row>
    <row r="20" spans="1:2">
      <c r="A20" s="3">
        <v>4</v>
      </c>
      <c r="B20" s="1">
        <v>1</v>
      </c>
    </row>
    <row r="21" spans="1:2">
      <c r="A21" s="3">
        <v>5</v>
      </c>
      <c r="B21" s="1">
        <v>0</v>
      </c>
    </row>
    <row r="22" spans="1:2">
      <c r="A22" s="3">
        <v>2</v>
      </c>
      <c r="B22" s="1">
        <v>0</v>
      </c>
    </row>
    <row r="23" spans="1:2">
      <c r="A23" s="3">
        <v>5</v>
      </c>
      <c r="B23" s="1">
        <v>1</v>
      </c>
    </row>
    <row r="24" spans="1:2">
      <c r="A24" s="3">
        <v>3</v>
      </c>
      <c r="B24" s="1">
        <v>0</v>
      </c>
    </row>
    <row r="25" spans="1:2">
      <c r="A25" s="3">
        <v>4</v>
      </c>
      <c r="B25" s="1">
        <v>0</v>
      </c>
    </row>
    <row r="26" spans="1:2">
      <c r="A26" s="3">
        <v>3</v>
      </c>
      <c r="B26" s="1">
        <v>1</v>
      </c>
    </row>
    <row r="27" spans="1:2">
      <c r="A27" s="3">
        <v>2</v>
      </c>
      <c r="B27" s="1">
        <v>0</v>
      </c>
    </row>
    <row r="28" spans="1:2">
      <c r="A28" s="3">
        <v>5</v>
      </c>
      <c r="B28" s="1">
        <v>1</v>
      </c>
    </row>
    <row r="29" spans="1:2">
      <c r="A29" s="3">
        <v>1</v>
      </c>
      <c r="B29" s="1">
        <v>0</v>
      </c>
    </row>
    <row r="30" spans="1:2">
      <c r="A30" s="1"/>
      <c r="B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045B-F250-0542-8D9D-5735D1FC42A6}">
  <dimension ref="A1:H48"/>
  <sheetViews>
    <sheetView tabSelected="1" topLeftCell="A18" zoomScale="145" zoomScaleNormal="145" workbookViewId="0">
      <selection activeCell="E30" sqref="E30"/>
    </sheetView>
  </sheetViews>
  <sheetFormatPr defaultColWidth="11" defaultRowHeight="15.75"/>
  <cols>
    <col min="1" max="1" width="9.5" customWidth="1"/>
    <col min="2" max="2" width="13.5" bestFit="1" customWidth="1"/>
    <col min="3" max="3" width="13.375" bestFit="1" customWidth="1"/>
    <col min="4" max="4" width="41.125" customWidth="1"/>
    <col min="5" max="5" width="27" customWidth="1"/>
    <col min="6" max="6" width="27.5" bestFit="1" customWidth="1"/>
    <col min="7" max="7" width="14.875" bestFit="1" customWidth="1"/>
  </cols>
  <sheetData>
    <row r="1" spans="1:7" ht="18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6" t="s">
        <v>15</v>
      </c>
      <c r="G1" s="6" t="s">
        <v>16</v>
      </c>
    </row>
    <row r="2" spans="1:7">
      <c r="A2" s="5">
        <v>1</v>
      </c>
      <c r="B2" s="5">
        <v>1</v>
      </c>
      <c r="C2" s="5">
        <f>COUNTIF(Tylko_dane!A$2:A$29,B2)</f>
        <v>6</v>
      </c>
      <c r="D2" s="5">
        <f>COUNTIFS(Tylko_dane!A$2:A$29,B2,Tylko_dane!B$2:B$29,1)</f>
        <v>1</v>
      </c>
      <c r="E2" s="11">
        <f>D2/C2</f>
        <v>0.16666666666666666</v>
      </c>
      <c r="F2" s="5">
        <f>E2/(1-E2)</f>
        <v>0.19999999999999998</v>
      </c>
      <c r="G2" s="11">
        <f>LN(F2)</f>
        <v>-1.6094379124341005</v>
      </c>
    </row>
    <row r="3" spans="1:7">
      <c r="A3" s="5">
        <v>2</v>
      </c>
      <c r="B3" s="5">
        <v>2</v>
      </c>
      <c r="C3" s="5">
        <f>COUNTIF(Tylko_dane!A$2:A$29,B3)</f>
        <v>6</v>
      </c>
      <c r="D3" s="5">
        <f>COUNTIFS(Tylko_dane!A$2:A$29,B3,Tylko_dane!B$2:B$29,1)</f>
        <v>1</v>
      </c>
      <c r="E3" s="11">
        <f t="shared" ref="E3:E6" si="0">D3/C3</f>
        <v>0.16666666666666666</v>
      </c>
      <c r="F3" s="5">
        <f t="shared" ref="F3:F6" si="1">E3/(1-E3)</f>
        <v>0.19999999999999998</v>
      </c>
      <c r="G3" s="11">
        <f t="shared" ref="G3:G6" si="2">LN(F3)</f>
        <v>-1.6094379124341005</v>
      </c>
    </row>
    <row r="4" spans="1:7">
      <c r="A4" s="5">
        <v>3</v>
      </c>
      <c r="B4" s="5">
        <v>3</v>
      </c>
      <c r="C4" s="5">
        <f>COUNTIF(Tylko_dane!A$2:A$29,B4)</f>
        <v>5</v>
      </c>
      <c r="D4" s="5">
        <f>COUNTIFS(Tylko_dane!A$2:A$29,B4,Tylko_dane!B$2:B$29,1)</f>
        <v>3</v>
      </c>
      <c r="E4" s="11">
        <f t="shared" si="0"/>
        <v>0.6</v>
      </c>
      <c r="F4" s="5">
        <f t="shared" si="1"/>
        <v>1.4999999999999998</v>
      </c>
      <c r="G4" s="11">
        <f t="shared" si="2"/>
        <v>0.40546510810816422</v>
      </c>
    </row>
    <row r="5" spans="1:7">
      <c r="A5" s="5">
        <v>4</v>
      </c>
      <c r="B5" s="5">
        <v>4</v>
      </c>
      <c r="C5" s="5">
        <f>COUNTIF(Tylko_dane!A$2:A$29,B5)</f>
        <v>5</v>
      </c>
      <c r="D5" s="5">
        <f>COUNTIFS(Tylko_dane!A$2:A$29,B5,Tylko_dane!B$2:B$29,1)</f>
        <v>4</v>
      </c>
      <c r="E5" s="11">
        <f t="shared" si="0"/>
        <v>0.8</v>
      </c>
      <c r="F5" s="5">
        <f t="shared" si="1"/>
        <v>4.0000000000000009</v>
      </c>
      <c r="G5" s="11">
        <f t="shared" si="2"/>
        <v>1.3862943611198908</v>
      </c>
    </row>
    <row r="6" spans="1:7">
      <c r="A6" s="5">
        <v>5</v>
      </c>
      <c r="B6" s="5">
        <v>5</v>
      </c>
      <c r="C6" s="5">
        <f>COUNTIF(Tylko_dane!A$2:A$29,B6)</f>
        <v>6</v>
      </c>
      <c r="D6" s="5">
        <f>COUNTIFS(Tylko_dane!A$2:A$29,B6,Tylko_dane!B$2:B$29,1)</f>
        <v>5</v>
      </c>
      <c r="E6" s="11">
        <f t="shared" si="0"/>
        <v>0.83333333333333337</v>
      </c>
      <c r="F6" s="5">
        <f t="shared" si="1"/>
        <v>5.0000000000000018</v>
      </c>
      <c r="G6" s="11">
        <f t="shared" si="2"/>
        <v>1.6094379124341007</v>
      </c>
    </row>
    <row r="7" spans="1:7">
      <c r="B7" t="s">
        <v>17</v>
      </c>
      <c r="C7" s="5">
        <f>SUM(C2:C6)</f>
        <v>28</v>
      </c>
      <c r="D7" s="5">
        <f>SUM(D2:D6)</f>
        <v>14</v>
      </c>
      <c r="E7" s="5" t="s">
        <v>18</v>
      </c>
      <c r="F7" s="5" t="s">
        <v>18</v>
      </c>
      <c r="G7" s="5" t="s">
        <v>18</v>
      </c>
    </row>
    <row r="10" spans="1:7">
      <c r="B10" t="s">
        <v>19</v>
      </c>
    </row>
    <row r="17" spans="2:8">
      <c r="B17" t="s">
        <v>20</v>
      </c>
    </row>
    <row r="22" spans="2:8">
      <c r="H22" t="s">
        <v>21</v>
      </c>
    </row>
    <row r="25" spans="2:8">
      <c r="D25" s="8">
        <v>1</v>
      </c>
      <c r="E25" s="8">
        <f>B2</f>
        <v>1</v>
      </c>
    </row>
    <row r="26" spans="2:8">
      <c r="D26" s="8">
        <v>1</v>
      </c>
      <c r="E26" s="8">
        <f>B3</f>
        <v>2</v>
      </c>
    </row>
    <row r="27" spans="2:8">
      <c r="B27" s="10" t="s">
        <v>22</v>
      </c>
      <c r="C27" s="7" t="s">
        <v>23</v>
      </c>
      <c r="D27" s="8">
        <v>1</v>
      </c>
      <c r="E27" s="8">
        <f>B4</f>
        <v>3</v>
      </c>
    </row>
    <row r="28" spans="2:8">
      <c r="D28" s="8">
        <v>1</v>
      </c>
      <c r="E28" s="8">
        <f>B5</f>
        <v>4</v>
      </c>
    </row>
    <row r="29" spans="2:8">
      <c r="D29" s="8">
        <v>1</v>
      </c>
      <c r="E29" s="8">
        <f>B6</f>
        <v>5</v>
      </c>
    </row>
    <row r="32" spans="2:8">
      <c r="D32" s="12">
        <f>G2</f>
        <v>-1.6094379124341005</v>
      </c>
    </row>
    <row r="33" spans="2:6">
      <c r="D33" s="12">
        <f>G3</f>
        <v>-1.6094379124341005</v>
      </c>
    </row>
    <row r="34" spans="2:6">
      <c r="B34" s="10" t="s">
        <v>24</v>
      </c>
      <c r="C34" s="7" t="s">
        <v>23</v>
      </c>
      <c r="D34" s="12">
        <f>G4</f>
        <v>0.40546510810816422</v>
      </c>
    </row>
    <row r="35" spans="2:6">
      <c r="D35" s="12">
        <f>G5</f>
        <v>1.3862943611198908</v>
      </c>
    </row>
    <row r="36" spans="2:6">
      <c r="D36" s="12">
        <f>G6</f>
        <v>1.6094379124341007</v>
      </c>
    </row>
    <row r="38" spans="2:6">
      <c r="C38" s="9"/>
    </row>
    <row r="40" spans="2:6">
      <c r="C40" cm="1">
        <f t="array" ref="C40:C41">MMULT(MMULT(MINVERSE(MMULT(TRANSPOSE(D25:E29),D25:E29)),TRANSPOSE(D25:E29)),D32:D36)</f>
        <v>-2.7935808656283285</v>
      </c>
    </row>
    <row r="41" spans="2:6">
      <c r="C41">
        <v>0.94334839232903978</v>
      </c>
    </row>
    <row r="48" spans="2:6">
      <c r="F48" t="s">
        <v>25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66af1e9-d714-4a1f-8101-22a504f9622f}" enabled="0" method="" siteId="{e66af1e9-d714-4a1f-8101-22a504f962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Płatkowski Zbigniew</dc:creator>
  <cp:keywords/>
  <dc:description/>
  <cp:lastModifiedBy>Płatkowski Zbigniew</cp:lastModifiedBy>
  <cp:revision/>
  <dcterms:created xsi:type="dcterms:W3CDTF">2025-12-20T18:42:18Z</dcterms:created>
  <dcterms:modified xsi:type="dcterms:W3CDTF">2026-01-22T18:33:34Z</dcterms:modified>
  <cp:category/>
  <cp:contentStatus/>
</cp:coreProperties>
</file>