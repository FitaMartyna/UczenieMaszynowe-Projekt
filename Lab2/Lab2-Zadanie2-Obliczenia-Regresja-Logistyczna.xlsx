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wat-my.sharepoint.com/personal/u57266_student_wat_edu_pl/Documents/KOPIE DO SYNCHRONIZACJI/5. SEMESTR/MED/LABORATORIUM/LAB2/ZAD2/"/>
    </mc:Choice>
  </mc:AlternateContent>
  <xr:revisionPtr revIDLastSave="456" documentId="8_{1360E65C-331C-D445-9CBC-92FBE5DD6CF4}" xr6:coauthVersionLast="47" xr6:coauthVersionMax="47" xr10:uidLastSave="{6F3C3B77-BD67-44A2-9AA0-602E3F2B48C7}"/>
  <bookViews>
    <workbookView minimized="1" xWindow="6960" yWindow="5190" windowWidth="28800" windowHeight="15345" xr2:uid="{7CA2C65B-B237-D84C-B255-F9F9215F7EB8}"/>
  </bookViews>
  <sheets>
    <sheet name="RegresjaLogistyczna1" sheetId="1" r:id="rId1"/>
    <sheet name="RegresjaLogistyczna2" sheetId="6" r:id="rId2"/>
    <sheet name="RegresjaLogistyczna3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B5" i="6"/>
  <c r="B11" i="6" s="1"/>
  <c r="B1" i="6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" i="1"/>
  <c r="C13" i="1"/>
  <c r="C8" i="1"/>
  <c r="C4" i="1"/>
  <c r="C5" i="1"/>
  <c r="C6" i="1"/>
  <c r="C7" i="1"/>
  <c r="C9" i="1"/>
  <c r="C10" i="1"/>
  <c r="C11" i="1"/>
  <c r="C12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3" i="1"/>
  <c r="C2" i="1"/>
  <c r="B6" i="6" l="1"/>
  <c r="A2" i="7" s="1"/>
  <c r="A39" i="7"/>
  <c r="B39" i="7" s="1"/>
  <c r="A50" i="7"/>
  <c r="B50" i="7" s="1"/>
  <c r="A38" i="7"/>
  <c r="B38" i="7" s="1"/>
  <c r="A27" i="7"/>
  <c r="B27" i="7" s="1"/>
  <c r="A26" i="7"/>
  <c r="B26" i="7" s="1"/>
  <c r="A15" i="7"/>
  <c r="B15" i="7" s="1"/>
  <c r="A85" i="7"/>
  <c r="B85" i="7" s="1"/>
  <c r="A14" i="7"/>
  <c r="B14" i="7" s="1"/>
  <c r="A75" i="7"/>
  <c r="B75" i="7" s="1"/>
  <c r="A3" i="7"/>
  <c r="B3" i="7" s="1"/>
  <c r="A63" i="7"/>
  <c r="B63" i="7" s="1"/>
  <c r="A62" i="7"/>
  <c r="B62" i="7" s="1"/>
  <c r="A87" i="7"/>
  <c r="B87" i="7" s="1"/>
  <c r="A86" i="7"/>
  <c r="B86" i="7" s="1"/>
  <c r="A51" i="7"/>
  <c r="B51" i="7" s="1"/>
  <c r="A73" i="7"/>
  <c r="B73" i="7" s="1"/>
  <c r="A61" i="7"/>
  <c r="B61" i="7" s="1"/>
  <c r="A49" i="7"/>
  <c r="B49" i="7" s="1"/>
  <c r="A37" i="7"/>
  <c r="B37" i="7" s="1"/>
  <c r="A25" i="7"/>
  <c r="B25" i="7" s="1"/>
  <c r="A13" i="7"/>
  <c r="B13" i="7" s="1"/>
  <c r="A84" i="7"/>
  <c r="B84" i="7" s="1"/>
  <c r="A72" i="7"/>
  <c r="B72" i="7" s="1"/>
  <c r="A60" i="7"/>
  <c r="B60" i="7" s="1"/>
  <c r="A48" i="7"/>
  <c r="B48" i="7" s="1"/>
  <c r="A36" i="7"/>
  <c r="B36" i="7" s="1"/>
  <c r="A24" i="7"/>
  <c r="B24" i="7" s="1"/>
  <c r="A12" i="7"/>
  <c r="B12" i="7" s="1"/>
  <c r="A47" i="7"/>
  <c r="B47" i="7" s="1"/>
  <c r="A35" i="7"/>
  <c r="B35" i="7" s="1"/>
  <c r="A23" i="7"/>
  <c r="B23" i="7" s="1"/>
  <c r="A11" i="7"/>
  <c r="B11" i="7" s="1"/>
  <c r="A94" i="7"/>
  <c r="B94" i="7" s="1"/>
  <c r="A46" i="7"/>
  <c r="B46" i="7" s="1"/>
  <c r="A10" i="7"/>
  <c r="B10" i="7" s="1"/>
  <c r="A70" i="7"/>
  <c r="B70" i="7" s="1"/>
  <c r="A22" i="7"/>
  <c r="B22" i="7" s="1"/>
  <c r="A93" i="7"/>
  <c r="B93" i="7" s="1"/>
  <c r="A81" i="7"/>
  <c r="B81" i="7" s="1"/>
  <c r="A69" i="7"/>
  <c r="B69" i="7" s="1"/>
  <c r="A57" i="7"/>
  <c r="B57" i="7" s="1"/>
  <c r="A45" i="7"/>
  <c r="B45" i="7" s="1"/>
  <c r="A33" i="7"/>
  <c r="B33" i="7" s="1"/>
  <c r="A21" i="7"/>
  <c r="B21" i="7" s="1"/>
  <c r="A9" i="7"/>
  <c r="B9" i="7" s="1"/>
  <c r="B2" i="7"/>
  <c r="A58" i="7"/>
  <c r="B58" i="7" s="1"/>
  <c r="A92" i="7"/>
  <c r="B92" i="7" s="1"/>
  <c r="A80" i="7"/>
  <c r="B80" i="7" s="1"/>
  <c r="A68" i="7"/>
  <c r="B68" i="7" s="1"/>
  <c r="A56" i="7"/>
  <c r="B56" i="7" s="1"/>
  <c r="A44" i="7"/>
  <c r="B44" i="7" s="1"/>
  <c r="A32" i="7"/>
  <c r="B32" i="7" s="1"/>
  <c r="A20" i="7"/>
  <c r="B20" i="7" s="1"/>
  <c r="A8" i="7"/>
  <c r="B8" i="7" s="1"/>
  <c r="A83" i="7"/>
  <c r="B83" i="7" s="1"/>
  <c r="A82" i="7"/>
  <c r="B82" i="7" s="1"/>
  <c r="A34" i="7"/>
  <c r="B34" i="7" s="1"/>
  <c r="A91" i="7"/>
  <c r="B91" i="7" s="1"/>
  <c r="A79" i="7"/>
  <c r="B79" i="7" s="1"/>
  <c r="A67" i="7"/>
  <c r="B67" i="7" s="1"/>
  <c r="A55" i="7"/>
  <c r="B55" i="7" s="1"/>
  <c r="A43" i="7"/>
  <c r="B43" i="7" s="1"/>
  <c r="A31" i="7"/>
  <c r="B31" i="7" s="1"/>
  <c r="A19" i="7"/>
  <c r="B19" i="7" s="1"/>
  <c r="A7" i="7"/>
  <c r="B7" i="7" s="1"/>
  <c r="A78" i="7"/>
  <c r="B78" i="7" s="1"/>
  <c r="A42" i="7"/>
  <c r="B42" i="7" s="1"/>
  <c r="A30" i="7"/>
  <c r="B30" i="7" s="1"/>
  <c r="A18" i="7"/>
  <c r="B18" i="7" s="1"/>
  <c r="A71" i="7"/>
  <c r="B71" i="7" s="1"/>
  <c r="A66" i="7"/>
  <c r="B66" i="7" s="1"/>
  <c r="A89" i="7"/>
  <c r="B89" i="7" s="1"/>
  <c r="A77" i="7"/>
  <c r="B77" i="7" s="1"/>
  <c r="A65" i="7"/>
  <c r="B65" i="7" s="1"/>
  <c r="A53" i="7"/>
  <c r="B53" i="7" s="1"/>
  <c r="A41" i="7"/>
  <c r="B41" i="7" s="1"/>
  <c r="A29" i="7"/>
  <c r="B29" i="7" s="1"/>
  <c r="A17" i="7"/>
  <c r="B17" i="7" s="1"/>
  <c r="A5" i="7"/>
  <c r="B5" i="7" s="1"/>
  <c r="A59" i="7"/>
  <c r="B59" i="7" s="1"/>
  <c r="A90" i="7"/>
  <c r="B90" i="7" s="1"/>
  <c r="A54" i="7"/>
  <c r="B54" i="7" s="1"/>
  <c r="A6" i="7"/>
  <c r="B6" i="7" s="1"/>
  <c r="A88" i="7"/>
  <c r="B88" i="7" s="1"/>
  <c r="A76" i="7"/>
  <c r="B76" i="7" s="1"/>
  <c r="A64" i="7"/>
  <c r="B64" i="7" s="1"/>
  <c r="A52" i="7"/>
  <c r="B52" i="7" s="1"/>
  <c r="A40" i="7"/>
  <c r="B40" i="7" s="1"/>
  <c r="A28" i="7"/>
  <c r="B28" i="7" s="1"/>
  <c r="A16" i="7"/>
  <c r="B16" i="7" s="1"/>
  <c r="A4" i="7"/>
  <c r="B4" i="7" s="1"/>
  <c r="A74" i="7" l="1"/>
  <c r="B74" i="7" s="1"/>
  <c r="B95" i="7"/>
  <c r="B13" i="6" s="1"/>
  <c r="B14" i="6" s="1"/>
</calcChain>
</file>

<file path=xl/sharedStrings.xml><?xml version="1.0" encoding="utf-8"?>
<sst xmlns="http://schemas.openxmlformats.org/spreadsheetml/2006/main" count="16" uniqueCount="16">
  <si>
    <t>Nr_miesiaca</t>
  </si>
  <si>
    <t>Liczba_bledow</t>
  </si>
  <si>
    <t>Suma_licz_bled</t>
  </si>
  <si>
    <t>beta0=</t>
  </si>
  <si>
    <t>beta1=</t>
  </si>
  <si>
    <t>a=</t>
  </si>
  <si>
    <t>k=</t>
  </si>
  <si>
    <t>SUMA=</t>
  </si>
  <si>
    <t>a*sum(t)=</t>
  </si>
  <si>
    <t>n=</t>
  </si>
  <si>
    <t>ln_b=</t>
  </si>
  <si>
    <t>b=</t>
  </si>
  <si>
    <t>(k/Suma_licz_bled)-1</t>
  </si>
  <si>
    <t>ln[(k/Suma_licz_bled)-1]</t>
  </si>
  <si>
    <t>delta_Suma_licz_bled</t>
  </si>
  <si>
    <t>Suma_licz_bled_prim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</si>
</sst>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000"/>
  </numFmts>
  <fonts count="3" x14ac:knownFonts="1">
    <font>
      <sz val="12"/>
      <color theme="1"/>
      <name val="Aptos Narrow"/>
      <family val="2"/>
      <charset val="238"/>
      <scheme val="minor"/>
    </font>
    <font>
      <sz val="12"/>
      <color theme="1"/>
      <name val="Aptos"/>
      <family val="2"/>
    </font>
    <font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D1847-18F4-6745-882C-8586A1A6F195}">
  <dimension ref="A1:E94"/>
  <sheetViews>
    <sheetView tabSelected="1" zoomScale="175" zoomScaleNormal="175" workbookViewId="0">
      <selection activeCell="D7" sqref="D7"/>
    </sheetView>
  </sheetViews>
  <sheetFormatPr defaultColWidth="10.875" defaultRowHeight="15.75" x14ac:dyDescent="0.25"/>
  <cols>
    <col min="1" max="1" width="11.375" style="1" bestFit="1" customWidth="1"/>
    <col min="2" max="2" width="14.125" style="1" bestFit="1" customWidth="1"/>
    <col min="3" max="3" width="14.75" style="1" bestFit="1" customWidth="1"/>
    <col min="4" max="4" width="20.125" style="1" bestFit="1" customWidth="1"/>
    <col min="5" max="5" width="19.75" style="1" bestFit="1" customWidth="1"/>
    <col min="6" max="6" width="13.625" style="1" bestFit="1" customWidth="1"/>
    <col min="7" max="16384" width="10.875" style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14</v>
      </c>
      <c r="E1" s="3" t="s">
        <v>15</v>
      </c>
    </row>
    <row r="2" spans="1:5" x14ac:dyDescent="0.25">
      <c r="A2" s="1">
        <v>1</v>
      </c>
      <c r="B2" s="2">
        <v>1</v>
      </c>
      <c r="C2" s="1">
        <f>SUM($B$2)</f>
        <v>1</v>
      </c>
      <c r="D2" s="1">
        <f>C2</f>
        <v>1</v>
      </c>
      <c r="E2" s="1">
        <f>D2/C2</f>
        <v>1</v>
      </c>
    </row>
    <row r="3" spans="1:5" x14ac:dyDescent="0.25">
      <c r="A3" s="1">
        <v>2</v>
      </c>
      <c r="B3" s="2">
        <v>0</v>
      </c>
      <c r="C3" s="1">
        <f>SUM($B$2:B3)</f>
        <v>1</v>
      </c>
      <c r="D3" s="1">
        <f>C3-C2</f>
        <v>0</v>
      </c>
      <c r="E3" s="1">
        <f t="shared" ref="E3:E54" si="0">D3/C3</f>
        <v>0</v>
      </c>
    </row>
    <row r="4" spans="1:5" x14ac:dyDescent="0.25">
      <c r="A4" s="1">
        <v>3</v>
      </c>
      <c r="B4" s="2">
        <v>0</v>
      </c>
      <c r="C4" s="1">
        <f>SUM($B$2:B4)</f>
        <v>1</v>
      </c>
      <c r="D4" s="1">
        <f t="shared" ref="D4:D67" si="1">C4-C3</f>
        <v>0</v>
      </c>
      <c r="E4" s="1">
        <f t="shared" si="0"/>
        <v>0</v>
      </c>
    </row>
    <row r="5" spans="1:5" x14ac:dyDescent="0.25">
      <c r="A5" s="1">
        <v>4</v>
      </c>
      <c r="B5" s="2">
        <v>0</v>
      </c>
      <c r="C5" s="1">
        <f>SUM($B$2:B5)</f>
        <v>1</v>
      </c>
      <c r="D5" s="1">
        <f t="shared" si="1"/>
        <v>0</v>
      </c>
      <c r="E5" s="1">
        <f t="shared" si="0"/>
        <v>0</v>
      </c>
    </row>
    <row r="6" spans="1:5" x14ac:dyDescent="0.25">
      <c r="A6" s="1">
        <v>5</v>
      </c>
      <c r="B6" s="2">
        <v>0</v>
      </c>
      <c r="C6" s="1">
        <f>SUM($B$2:B6)</f>
        <v>1</v>
      </c>
      <c r="D6" s="1">
        <f t="shared" si="1"/>
        <v>0</v>
      </c>
      <c r="E6" s="1">
        <f t="shared" si="0"/>
        <v>0</v>
      </c>
    </row>
    <row r="7" spans="1:5" x14ac:dyDescent="0.25">
      <c r="A7" s="1">
        <v>6</v>
      </c>
      <c r="B7" s="2">
        <v>0</v>
      </c>
      <c r="C7" s="1">
        <f>SUM($B$2:B7)</f>
        <v>1</v>
      </c>
      <c r="D7" s="1">
        <f t="shared" si="1"/>
        <v>0</v>
      </c>
      <c r="E7" s="1">
        <f t="shared" si="0"/>
        <v>0</v>
      </c>
    </row>
    <row r="8" spans="1:5" x14ac:dyDescent="0.25">
      <c r="A8" s="1">
        <v>7</v>
      </c>
      <c r="B8" s="2">
        <v>0</v>
      </c>
      <c r="C8" s="1">
        <f>SUM($B$2:B8)</f>
        <v>1</v>
      </c>
      <c r="D8" s="1">
        <f t="shared" si="1"/>
        <v>0</v>
      </c>
      <c r="E8" s="1">
        <f t="shared" si="0"/>
        <v>0</v>
      </c>
    </row>
    <row r="9" spans="1:5" x14ac:dyDescent="0.25">
      <c r="A9" s="1">
        <v>8</v>
      </c>
      <c r="B9" s="2">
        <v>0</v>
      </c>
      <c r="C9" s="1">
        <f>SUM($B$2:B9)</f>
        <v>1</v>
      </c>
      <c r="D9" s="1">
        <f t="shared" si="1"/>
        <v>0</v>
      </c>
      <c r="E9" s="1">
        <f t="shared" si="0"/>
        <v>0</v>
      </c>
    </row>
    <row r="10" spans="1:5" x14ac:dyDescent="0.25">
      <c r="A10" s="1">
        <v>9</v>
      </c>
      <c r="B10" s="2">
        <v>0</v>
      </c>
      <c r="C10" s="1">
        <f>SUM($B$2:B10)</f>
        <v>1</v>
      </c>
      <c r="D10" s="1">
        <f t="shared" si="1"/>
        <v>0</v>
      </c>
      <c r="E10" s="1">
        <f t="shared" si="0"/>
        <v>0</v>
      </c>
    </row>
    <row r="11" spans="1:5" x14ac:dyDescent="0.25">
      <c r="A11" s="1">
        <v>10</v>
      </c>
      <c r="B11" s="2">
        <v>0</v>
      </c>
      <c r="C11" s="1">
        <f>SUM($B$2:B11)</f>
        <v>1</v>
      </c>
      <c r="D11" s="1">
        <f t="shared" si="1"/>
        <v>0</v>
      </c>
      <c r="E11" s="1">
        <f t="shared" si="0"/>
        <v>0</v>
      </c>
    </row>
    <row r="12" spans="1:5" x14ac:dyDescent="0.25">
      <c r="A12" s="1">
        <v>11</v>
      </c>
      <c r="B12" s="2">
        <v>0</v>
      </c>
      <c r="C12" s="1">
        <f>SUM($B$2:B12)</f>
        <v>1</v>
      </c>
      <c r="D12" s="1">
        <f t="shared" si="1"/>
        <v>0</v>
      </c>
      <c r="E12" s="1">
        <f t="shared" si="0"/>
        <v>0</v>
      </c>
    </row>
    <row r="13" spans="1:5" x14ac:dyDescent="0.25">
      <c r="A13" s="1">
        <v>12</v>
      </c>
      <c r="B13" s="2">
        <v>0</v>
      </c>
      <c r="C13" s="1">
        <f>SUM($B$2:B13)</f>
        <v>1</v>
      </c>
      <c r="D13" s="1">
        <f t="shared" si="1"/>
        <v>0</v>
      </c>
      <c r="E13" s="1">
        <f t="shared" si="0"/>
        <v>0</v>
      </c>
    </row>
    <row r="14" spans="1:5" x14ac:dyDescent="0.25">
      <c r="A14" s="1">
        <v>13</v>
      </c>
      <c r="B14" s="2">
        <v>0</v>
      </c>
      <c r="C14" s="1">
        <f>SUM($B$2:B14)</f>
        <v>1</v>
      </c>
      <c r="D14" s="1">
        <f t="shared" si="1"/>
        <v>0</v>
      </c>
      <c r="E14" s="1">
        <f t="shared" si="0"/>
        <v>0</v>
      </c>
    </row>
    <row r="15" spans="1:5" x14ac:dyDescent="0.25">
      <c r="A15" s="1">
        <v>14</v>
      </c>
      <c r="B15" s="2">
        <v>0</v>
      </c>
      <c r="C15" s="1">
        <f>SUM($B$2:B15)</f>
        <v>1</v>
      </c>
      <c r="D15" s="1">
        <f t="shared" si="1"/>
        <v>0</v>
      </c>
      <c r="E15" s="1">
        <f t="shared" si="0"/>
        <v>0</v>
      </c>
    </row>
    <row r="16" spans="1:5" x14ac:dyDescent="0.25">
      <c r="A16" s="1">
        <v>15</v>
      </c>
      <c r="B16" s="2">
        <v>0</v>
      </c>
      <c r="C16" s="1">
        <f>SUM($B$2:B16)</f>
        <v>1</v>
      </c>
      <c r="D16" s="1">
        <f t="shared" si="1"/>
        <v>0</v>
      </c>
      <c r="E16" s="1">
        <f t="shared" si="0"/>
        <v>0</v>
      </c>
    </row>
    <row r="17" spans="1:5" x14ac:dyDescent="0.25">
      <c r="A17" s="1">
        <v>16</v>
      </c>
      <c r="B17" s="2">
        <v>0</v>
      </c>
      <c r="C17" s="1">
        <f>SUM($B$2:B17)</f>
        <v>1</v>
      </c>
      <c r="D17" s="1">
        <f t="shared" si="1"/>
        <v>0</v>
      </c>
      <c r="E17" s="1">
        <f t="shared" si="0"/>
        <v>0</v>
      </c>
    </row>
    <row r="18" spans="1:5" x14ac:dyDescent="0.25">
      <c r="A18" s="1">
        <v>17</v>
      </c>
      <c r="B18" s="2">
        <v>0</v>
      </c>
      <c r="C18" s="1">
        <f>SUM($B$2:B18)</f>
        <v>1</v>
      </c>
      <c r="D18" s="1">
        <f t="shared" si="1"/>
        <v>0</v>
      </c>
      <c r="E18" s="1">
        <f t="shared" si="0"/>
        <v>0</v>
      </c>
    </row>
    <row r="19" spans="1:5" x14ac:dyDescent="0.25">
      <c r="A19" s="1">
        <v>18</v>
      </c>
      <c r="B19" s="2">
        <v>0</v>
      </c>
      <c r="C19" s="1">
        <f>SUM($B$2:B19)</f>
        <v>1</v>
      </c>
      <c r="D19" s="1">
        <f t="shared" si="1"/>
        <v>0</v>
      </c>
      <c r="E19" s="1">
        <f t="shared" si="0"/>
        <v>0</v>
      </c>
    </row>
    <row r="20" spans="1:5" x14ac:dyDescent="0.25">
      <c r="A20" s="1">
        <v>19</v>
      </c>
      <c r="B20" s="2">
        <v>0</v>
      </c>
      <c r="C20" s="1">
        <f>SUM($B$2:B20)</f>
        <v>1</v>
      </c>
      <c r="D20" s="1">
        <f t="shared" si="1"/>
        <v>0</v>
      </c>
      <c r="E20" s="1">
        <f t="shared" si="0"/>
        <v>0</v>
      </c>
    </row>
    <row r="21" spans="1:5" x14ac:dyDescent="0.25">
      <c r="A21" s="1">
        <v>20</v>
      </c>
      <c r="B21" s="2">
        <v>1</v>
      </c>
      <c r="C21" s="1">
        <f>SUM($B$2:B21)</f>
        <v>2</v>
      </c>
      <c r="D21" s="1">
        <f t="shared" si="1"/>
        <v>1</v>
      </c>
      <c r="E21" s="1">
        <f>D21/C21</f>
        <v>0.5</v>
      </c>
    </row>
    <row r="22" spans="1:5" x14ac:dyDescent="0.25">
      <c r="A22" s="1">
        <v>21</v>
      </c>
      <c r="B22" s="2">
        <v>9</v>
      </c>
      <c r="C22" s="1">
        <f>SUM($B$2:B22)</f>
        <v>11</v>
      </c>
      <c r="D22" s="1">
        <f t="shared" si="1"/>
        <v>9</v>
      </c>
      <c r="E22" s="1">
        <f t="shared" si="0"/>
        <v>0.81818181818181823</v>
      </c>
    </row>
    <row r="23" spans="1:5" x14ac:dyDescent="0.25">
      <c r="A23" s="1">
        <v>22</v>
      </c>
      <c r="B23" s="2">
        <v>0</v>
      </c>
      <c r="C23" s="1">
        <f>SUM($B$2:B23)</f>
        <v>11</v>
      </c>
      <c r="D23" s="1">
        <f t="shared" si="1"/>
        <v>0</v>
      </c>
      <c r="E23" s="1">
        <f t="shared" si="0"/>
        <v>0</v>
      </c>
    </row>
    <row r="24" spans="1:5" x14ac:dyDescent="0.25">
      <c r="A24" s="1">
        <v>23</v>
      </c>
      <c r="B24" s="2">
        <v>0</v>
      </c>
      <c r="C24" s="1">
        <f>SUM($B$2:B24)</f>
        <v>11</v>
      </c>
      <c r="D24" s="1">
        <f t="shared" si="1"/>
        <v>0</v>
      </c>
      <c r="E24" s="1">
        <f t="shared" si="0"/>
        <v>0</v>
      </c>
    </row>
    <row r="25" spans="1:5" x14ac:dyDescent="0.25">
      <c r="A25" s="1">
        <v>24</v>
      </c>
      <c r="B25" s="2">
        <v>3</v>
      </c>
      <c r="C25" s="1">
        <f>SUM($B$2:B25)</f>
        <v>14</v>
      </c>
      <c r="D25" s="1">
        <f t="shared" si="1"/>
        <v>3</v>
      </c>
      <c r="E25" s="1">
        <f t="shared" si="0"/>
        <v>0.21428571428571427</v>
      </c>
    </row>
    <row r="26" spans="1:5" x14ac:dyDescent="0.25">
      <c r="A26" s="1">
        <v>25</v>
      </c>
      <c r="B26" s="2">
        <v>1</v>
      </c>
      <c r="C26" s="1">
        <f>SUM($B$2:B26)</f>
        <v>15</v>
      </c>
      <c r="D26" s="1">
        <f t="shared" si="1"/>
        <v>1</v>
      </c>
      <c r="E26" s="1">
        <f t="shared" si="0"/>
        <v>6.6666666666666666E-2</v>
      </c>
    </row>
    <row r="27" spans="1:5" x14ac:dyDescent="0.25">
      <c r="A27" s="1">
        <v>26</v>
      </c>
      <c r="B27" s="2">
        <v>1</v>
      </c>
      <c r="C27" s="1">
        <f>SUM($B$2:B27)</f>
        <v>16</v>
      </c>
      <c r="D27" s="1">
        <f t="shared" si="1"/>
        <v>1</v>
      </c>
      <c r="E27" s="1">
        <f t="shared" si="0"/>
        <v>6.25E-2</v>
      </c>
    </row>
    <row r="28" spans="1:5" x14ac:dyDescent="0.25">
      <c r="A28" s="1">
        <v>27</v>
      </c>
      <c r="B28" s="2">
        <v>0</v>
      </c>
      <c r="C28" s="1">
        <f>SUM($B$2:B28)</f>
        <v>16</v>
      </c>
      <c r="D28" s="1">
        <f t="shared" si="1"/>
        <v>0</v>
      </c>
      <c r="E28" s="1">
        <f t="shared" si="0"/>
        <v>0</v>
      </c>
    </row>
    <row r="29" spans="1:5" x14ac:dyDescent="0.25">
      <c r="A29" s="1">
        <v>28</v>
      </c>
      <c r="B29" s="2">
        <v>1</v>
      </c>
      <c r="C29" s="1">
        <f>SUM($B$2:B29)</f>
        <v>17</v>
      </c>
      <c r="D29" s="1">
        <f t="shared" si="1"/>
        <v>1</v>
      </c>
      <c r="E29" s="1">
        <f t="shared" si="0"/>
        <v>5.8823529411764705E-2</v>
      </c>
    </row>
    <row r="30" spans="1:5" x14ac:dyDescent="0.25">
      <c r="A30" s="1">
        <v>29</v>
      </c>
      <c r="B30" s="2">
        <v>0</v>
      </c>
      <c r="C30" s="1">
        <f>SUM($B$2:B30)</f>
        <v>17</v>
      </c>
      <c r="D30" s="1">
        <f t="shared" si="1"/>
        <v>0</v>
      </c>
      <c r="E30" s="1">
        <f t="shared" si="0"/>
        <v>0</v>
      </c>
    </row>
    <row r="31" spans="1:5" x14ac:dyDescent="0.25">
      <c r="A31" s="1">
        <v>30</v>
      </c>
      <c r="B31" s="2">
        <v>2</v>
      </c>
      <c r="C31" s="1">
        <f>SUM($B$2:B31)</f>
        <v>19</v>
      </c>
      <c r="D31" s="1">
        <f>C31-C30</f>
        <v>2</v>
      </c>
      <c r="E31" s="1">
        <f t="shared" si="0"/>
        <v>0.10526315789473684</v>
      </c>
    </row>
    <row r="32" spans="1:5" x14ac:dyDescent="0.25">
      <c r="A32" s="1">
        <v>31</v>
      </c>
      <c r="B32" s="2">
        <v>10</v>
      </c>
      <c r="C32" s="1">
        <f>SUM($B$2:B32)</f>
        <v>29</v>
      </c>
      <c r="D32" s="1">
        <f t="shared" si="1"/>
        <v>10</v>
      </c>
      <c r="E32" s="1">
        <f t="shared" si="0"/>
        <v>0.34482758620689657</v>
      </c>
    </row>
    <row r="33" spans="1:5" x14ac:dyDescent="0.25">
      <c r="A33" s="1">
        <v>32</v>
      </c>
      <c r="B33" s="2">
        <v>0</v>
      </c>
      <c r="C33" s="1">
        <f>SUM($B$2:B33)</f>
        <v>29</v>
      </c>
      <c r="D33" s="1">
        <f t="shared" si="1"/>
        <v>0</v>
      </c>
      <c r="E33" s="1">
        <f t="shared" si="0"/>
        <v>0</v>
      </c>
    </row>
    <row r="34" spans="1:5" x14ac:dyDescent="0.25">
      <c r="A34" s="1">
        <v>33</v>
      </c>
      <c r="B34" s="2">
        <v>16</v>
      </c>
      <c r="C34" s="1">
        <f>SUM($B$2:B34)</f>
        <v>45</v>
      </c>
      <c r="D34" s="1">
        <f t="shared" si="1"/>
        <v>16</v>
      </c>
      <c r="E34" s="1">
        <f t="shared" si="0"/>
        <v>0.35555555555555557</v>
      </c>
    </row>
    <row r="35" spans="1:5" x14ac:dyDescent="0.25">
      <c r="A35" s="1">
        <v>34</v>
      </c>
      <c r="B35" s="2">
        <v>0</v>
      </c>
      <c r="C35" s="1">
        <f>SUM($B$2:B35)</f>
        <v>45</v>
      </c>
      <c r="D35" s="1">
        <f t="shared" si="1"/>
        <v>0</v>
      </c>
      <c r="E35" s="1">
        <f t="shared" si="0"/>
        <v>0</v>
      </c>
    </row>
    <row r="36" spans="1:5" x14ac:dyDescent="0.25">
      <c r="A36" s="1">
        <v>35</v>
      </c>
      <c r="B36" s="2">
        <v>2</v>
      </c>
      <c r="C36" s="1">
        <f>SUM($B$2:B36)</f>
        <v>47</v>
      </c>
      <c r="D36" s="1">
        <f t="shared" si="1"/>
        <v>2</v>
      </c>
      <c r="E36" s="1">
        <f>D36/C36</f>
        <v>4.2553191489361701E-2</v>
      </c>
    </row>
    <row r="37" spans="1:5" x14ac:dyDescent="0.25">
      <c r="A37" s="1">
        <v>36</v>
      </c>
      <c r="B37" s="2">
        <v>2</v>
      </c>
      <c r="C37" s="1">
        <f>SUM($B$2:B37)</f>
        <v>49</v>
      </c>
      <c r="D37" s="1">
        <f t="shared" si="1"/>
        <v>2</v>
      </c>
      <c r="E37" s="1">
        <f t="shared" si="0"/>
        <v>4.0816326530612242E-2</v>
      </c>
    </row>
    <row r="38" spans="1:5" x14ac:dyDescent="0.25">
      <c r="A38" s="1">
        <v>37</v>
      </c>
      <c r="B38" s="2">
        <v>1</v>
      </c>
      <c r="C38" s="1">
        <f>SUM($B$2:B38)</f>
        <v>50</v>
      </c>
      <c r="D38" s="1">
        <f t="shared" si="1"/>
        <v>1</v>
      </c>
      <c r="E38" s="1">
        <f t="shared" si="0"/>
        <v>0.02</v>
      </c>
    </row>
    <row r="39" spans="1:5" x14ac:dyDescent="0.25">
      <c r="A39" s="1">
        <v>38</v>
      </c>
      <c r="B39" s="2">
        <v>1</v>
      </c>
      <c r="C39" s="1">
        <f>SUM($B$2:B39)</f>
        <v>51</v>
      </c>
      <c r="D39" s="1">
        <f t="shared" si="1"/>
        <v>1</v>
      </c>
      <c r="E39" s="1">
        <f t="shared" si="0"/>
        <v>1.9607843137254902E-2</v>
      </c>
    </row>
    <row r="40" spans="1:5" x14ac:dyDescent="0.25">
      <c r="A40" s="1">
        <v>39</v>
      </c>
      <c r="B40" s="2">
        <v>1</v>
      </c>
      <c r="C40" s="1">
        <f>SUM($B$2:B40)</f>
        <v>52</v>
      </c>
      <c r="D40" s="1">
        <f t="shared" si="1"/>
        <v>1</v>
      </c>
      <c r="E40" s="1">
        <f t="shared" si="0"/>
        <v>1.9230769230769232E-2</v>
      </c>
    </row>
    <row r="41" spans="1:5" x14ac:dyDescent="0.25">
      <c r="A41" s="1">
        <v>40</v>
      </c>
      <c r="B41" s="2">
        <v>0</v>
      </c>
      <c r="C41" s="1">
        <f>SUM($B$2:B41)</f>
        <v>52</v>
      </c>
      <c r="D41" s="1">
        <f t="shared" si="1"/>
        <v>0</v>
      </c>
      <c r="E41" s="1">
        <f t="shared" si="0"/>
        <v>0</v>
      </c>
    </row>
    <row r="42" spans="1:5" x14ac:dyDescent="0.25">
      <c r="A42" s="1">
        <v>41</v>
      </c>
      <c r="B42" s="2">
        <v>3</v>
      </c>
      <c r="C42" s="1">
        <f>SUM($B$2:B42)</f>
        <v>55</v>
      </c>
      <c r="D42" s="1">
        <f t="shared" si="1"/>
        <v>3</v>
      </c>
      <c r="E42" s="1">
        <f t="shared" si="0"/>
        <v>5.4545454545454543E-2</v>
      </c>
    </row>
    <row r="43" spans="1:5" x14ac:dyDescent="0.25">
      <c r="A43" s="1">
        <v>42</v>
      </c>
      <c r="B43" s="2">
        <v>2</v>
      </c>
      <c r="C43" s="1">
        <f>SUM($B$2:B43)</f>
        <v>57</v>
      </c>
      <c r="D43" s="1">
        <f t="shared" si="1"/>
        <v>2</v>
      </c>
      <c r="E43" s="1">
        <f t="shared" si="0"/>
        <v>3.5087719298245612E-2</v>
      </c>
    </row>
    <row r="44" spans="1:5" x14ac:dyDescent="0.25">
      <c r="A44" s="1">
        <v>43</v>
      </c>
      <c r="B44" s="2">
        <v>1</v>
      </c>
      <c r="C44" s="1">
        <f>SUM($B$2:B44)</f>
        <v>58</v>
      </c>
      <c r="D44" s="1">
        <f t="shared" si="1"/>
        <v>1</v>
      </c>
      <c r="E44" s="1">
        <f t="shared" si="0"/>
        <v>1.7241379310344827E-2</v>
      </c>
    </row>
    <row r="45" spans="1:5" x14ac:dyDescent="0.25">
      <c r="A45" s="1">
        <v>44</v>
      </c>
      <c r="B45" s="2">
        <v>6</v>
      </c>
      <c r="C45" s="1">
        <f>SUM($B$2:B45)</f>
        <v>64</v>
      </c>
      <c r="D45" s="1">
        <f t="shared" si="1"/>
        <v>6</v>
      </c>
      <c r="E45" s="1">
        <f t="shared" si="0"/>
        <v>9.375E-2</v>
      </c>
    </row>
    <row r="46" spans="1:5" x14ac:dyDescent="0.25">
      <c r="A46" s="1">
        <v>45</v>
      </c>
      <c r="B46" s="2">
        <v>3</v>
      </c>
      <c r="C46" s="1">
        <f>SUM($B$2:B46)</f>
        <v>67</v>
      </c>
      <c r="D46" s="1">
        <f t="shared" si="1"/>
        <v>3</v>
      </c>
      <c r="E46" s="1">
        <f t="shared" si="0"/>
        <v>4.4776119402985072E-2</v>
      </c>
    </row>
    <row r="47" spans="1:5" x14ac:dyDescent="0.25">
      <c r="A47" s="1">
        <v>46</v>
      </c>
      <c r="B47" s="2">
        <v>0</v>
      </c>
      <c r="C47" s="1">
        <f>SUM($B$2:B47)</f>
        <v>67</v>
      </c>
      <c r="D47" s="1">
        <f t="shared" si="1"/>
        <v>0</v>
      </c>
      <c r="E47" s="1">
        <f t="shared" si="0"/>
        <v>0</v>
      </c>
    </row>
    <row r="48" spans="1:5" x14ac:dyDescent="0.25">
      <c r="A48" s="1">
        <v>47</v>
      </c>
      <c r="B48" s="2">
        <v>1</v>
      </c>
      <c r="C48" s="1">
        <f>SUM($B$2:B48)</f>
        <v>68</v>
      </c>
      <c r="D48" s="1">
        <f t="shared" si="1"/>
        <v>1</v>
      </c>
      <c r="E48" s="1">
        <f t="shared" si="0"/>
        <v>1.4705882352941176E-2</v>
      </c>
    </row>
    <row r="49" spans="1:5" x14ac:dyDescent="0.25">
      <c r="A49" s="1">
        <v>48</v>
      </c>
      <c r="B49" s="2">
        <v>1</v>
      </c>
      <c r="C49" s="1">
        <f>SUM($B$2:B49)</f>
        <v>69</v>
      </c>
      <c r="D49" s="1">
        <f t="shared" si="1"/>
        <v>1</v>
      </c>
      <c r="E49" s="1">
        <f t="shared" si="0"/>
        <v>1.4492753623188406E-2</v>
      </c>
    </row>
    <row r="50" spans="1:5" x14ac:dyDescent="0.25">
      <c r="A50" s="1">
        <v>49</v>
      </c>
      <c r="B50" s="2">
        <v>0</v>
      </c>
      <c r="C50" s="1">
        <f>SUM($B$2:B50)</f>
        <v>69</v>
      </c>
      <c r="D50" s="1">
        <f t="shared" si="1"/>
        <v>0</v>
      </c>
      <c r="E50" s="1">
        <f t="shared" si="0"/>
        <v>0</v>
      </c>
    </row>
    <row r="51" spans="1:5" x14ac:dyDescent="0.25">
      <c r="A51" s="1">
        <v>50</v>
      </c>
      <c r="B51" s="2">
        <v>0</v>
      </c>
      <c r="C51" s="1">
        <f>SUM($B$2:B51)</f>
        <v>69</v>
      </c>
      <c r="D51" s="1">
        <f t="shared" si="1"/>
        <v>0</v>
      </c>
      <c r="E51" s="1">
        <f t="shared" si="0"/>
        <v>0</v>
      </c>
    </row>
    <row r="52" spans="1:5" x14ac:dyDescent="0.25">
      <c r="A52" s="1">
        <v>51</v>
      </c>
      <c r="B52" s="2">
        <v>14</v>
      </c>
      <c r="C52" s="1">
        <f>SUM($B$2:B52)</f>
        <v>83</v>
      </c>
      <c r="D52" s="1">
        <f t="shared" si="1"/>
        <v>14</v>
      </c>
      <c r="E52" s="1">
        <f t="shared" si="0"/>
        <v>0.16867469879518071</v>
      </c>
    </row>
    <row r="53" spans="1:5" x14ac:dyDescent="0.25">
      <c r="A53" s="1">
        <v>52</v>
      </c>
      <c r="B53" s="2">
        <v>1</v>
      </c>
      <c r="C53" s="1">
        <f>SUM($B$2:B53)</f>
        <v>84</v>
      </c>
      <c r="D53" s="1">
        <f t="shared" si="1"/>
        <v>1</v>
      </c>
      <c r="E53" s="1">
        <f t="shared" si="0"/>
        <v>1.1904761904761904E-2</v>
      </c>
    </row>
    <row r="54" spans="1:5" x14ac:dyDescent="0.25">
      <c r="A54" s="1">
        <v>53</v>
      </c>
      <c r="B54" s="2">
        <v>4</v>
      </c>
      <c r="C54" s="1">
        <f>SUM($B$2:B54)</f>
        <v>88</v>
      </c>
      <c r="D54" s="1">
        <f t="shared" si="1"/>
        <v>4</v>
      </c>
      <c r="E54" s="1">
        <f t="shared" si="0"/>
        <v>4.5454545454545456E-2</v>
      </c>
    </row>
    <row r="55" spans="1:5" x14ac:dyDescent="0.25">
      <c r="A55" s="1">
        <v>54</v>
      </c>
      <c r="B55" s="2">
        <v>1</v>
      </c>
      <c r="C55" s="1">
        <f>SUM($B$2:B55)</f>
        <v>89</v>
      </c>
      <c r="D55" s="1">
        <f t="shared" si="1"/>
        <v>1</v>
      </c>
      <c r="E55" s="1">
        <f>D55/C55</f>
        <v>1.1235955056179775E-2</v>
      </c>
    </row>
    <row r="56" spans="1:5" x14ac:dyDescent="0.25">
      <c r="A56" s="1">
        <v>55</v>
      </c>
      <c r="B56" s="2">
        <v>1</v>
      </c>
      <c r="C56" s="1">
        <f>SUM($B$2:B56)</f>
        <v>90</v>
      </c>
      <c r="D56" s="1">
        <f t="shared" si="1"/>
        <v>1</v>
      </c>
      <c r="E56" s="1">
        <f>D56/C56</f>
        <v>1.1111111111111112E-2</v>
      </c>
    </row>
    <row r="57" spans="1:5" x14ac:dyDescent="0.25">
      <c r="A57" s="1">
        <v>56</v>
      </c>
      <c r="B57" s="2">
        <v>7</v>
      </c>
      <c r="C57" s="1">
        <f>SUM($B$2:B57)</f>
        <v>97</v>
      </c>
      <c r="D57" s="1">
        <f t="shared" si="1"/>
        <v>7</v>
      </c>
      <c r="E57" s="1">
        <f t="shared" ref="E57:E81" si="2">D57/C57</f>
        <v>7.2164948453608241E-2</v>
      </c>
    </row>
    <row r="58" spans="1:5" x14ac:dyDescent="0.25">
      <c r="A58" s="1">
        <v>57</v>
      </c>
      <c r="B58" s="2">
        <v>14</v>
      </c>
      <c r="C58" s="1">
        <f>SUM($B$2:B58)</f>
        <v>111</v>
      </c>
      <c r="D58" s="1">
        <f t="shared" si="1"/>
        <v>14</v>
      </c>
      <c r="E58" s="1">
        <f t="shared" si="2"/>
        <v>0.12612612612612611</v>
      </c>
    </row>
    <row r="59" spans="1:5" x14ac:dyDescent="0.25">
      <c r="A59" s="1">
        <v>58</v>
      </c>
      <c r="B59" s="2">
        <v>6</v>
      </c>
      <c r="C59" s="1">
        <f>SUM($B$2:B59)</f>
        <v>117</v>
      </c>
      <c r="D59" s="1">
        <f>C59-C58</f>
        <v>6</v>
      </c>
      <c r="E59" s="1">
        <f t="shared" si="2"/>
        <v>5.128205128205128E-2</v>
      </c>
    </row>
    <row r="60" spans="1:5" x14ac:dyDescent="0.25">
      <c r="A60" s="1">
        <v>59</v>
      </c>
      <c r="B60" s="2">
        <v>0</v>
      </c>
      <c r="C60" s="1">
        <f>SUM($B$2:B60)</f>
        <v>117</v>
      </c>
      <c r="D60" s="1">
        <f t="shared" si="1"/>
        <v>0</v>
      </c>
      <c r="E60" s="1">
        <f t="shared" si="2"/>
        <v>0</v>
      </c>
    </row>
    <row r="61" spans="1:5" x14ac:dyDescent="0.25">
      <c r="A61" s="1">
        <v>60</v>
      </c>
      <c r="B61" s="2">
        <v>1</v>
      </c>
      <c r="C61" s="1">
        <f>SUM($B$2:B61)</f>
        <v>118</v>
      </c>
      <c r="D61" s="1">
        <f t="shared" si="1"/>
        <v>1</v>
      </c>
      <c r="E61" s="1">
        <f t="shared" si="2"/>
        <v>8.4745762711864406E-3</v>
      </c>
    </row>
    <row r="62" spans="1:5" x14ac:dyDescent="0.25">
      <c r="A62" s="1">
        <v>61</v>
      </c>
      <c r="B62" s="2">
        <v>2</v>
      </c>
      <c r="C62" s="1">
        <f>SUM($B$2:B62)</f>
        <v>120</v>
      </c>
      <c r="D62" s="1">
        <f t="shared" si="1"/>
        <v>2</v>
      </c>
      <c r="E62" s="1">
        <f t="shared" si="2"/>
        <v>1.6666666666666666E-2</v>
      </c>
    </row>
    <row r="63" spans="1:5" x14ac:dyDescent="0.25">
      <c r="A63" s="1">
        <v>62</v>
      </c>
      <c r="B63" s="2">
        <v>19</v>
      </c>
      <c r="C63" s="1">
        <f>SUM($B$2:B63)</f>
        <v>139</v>
      </c>
      <c r="D63" s="1">
        <f t="shared" si="1"/>
        <v>19</v>
      </c>
      <c r="E63" s="1">
        <f t="shared" si="2"/>
        <v>0.1366906474820144</v>
      </c>
    </row>
    <row r="64" spans="1:5" x14ac:dyDescent="0.25">
      <c r="A64" s="1">
        <v>63</v>
      </c>
      <c r="B64" s="2">
        <v>7</v>
      </c>
      <c r="C64" s="1">
        <f>SUM($B$2:B64)</f>
        <v>146</v>
      </c>
      <c r="D64" s="1">
        <f t="shared" si="1"/>
        <v>7</v>
      </c>
      <c r="E64" s="1">
        <f t="shared" si="2"/>
        <v>4.7945205479452052E-2</v>
      </c>
    </row>
    <row r="65" spans="1:5" x14ac:dyDescent="0.25">
      <c r="A65" s="1">
        <v>64</v>
      </c>
      <c r="B65" s="2">
        <v>2</v>
      </c>
      <c r="C65" s="1">
        <f>SUM($B$2:B65)</f>
        <v>148</v>
      </c>
      <c r="D65" s="1">
        <f t="shared" si="1"/>
        <v>2</v>
      </c>
      <c r="E65" s="1">
        <f t="shared" si="2"/>
        <v>1.3513513513513514E-2</v>
      </c>
    </row>
    <row r="66" spans="1:5" x14ac:dyDescent="0.25">
      <c r="A66" s="1">
        <v>65</v>
      </c>
      <c r="B66" s="2">
        <v>5</v>
      </c>
      <c r="C66" s="1">
        <f>SUM($B$2:B66)</f>
        <v>153</v>
      </c>
      <c r="D66" s="1">
        <f t="shared" si="1"/>
        <v>5</v>
      </c>
      <c r="E66" s="1">
        <f t="shared" si="2"/>
        <v>3.2679738562091505E-2</v>
      </c>
    </row>
    <row r="67" spans="1:5" x14ac:dyDescent="0.25">
      <c r="A67" s="1">
        <v>66</v>
      </c>
      <c r="B67" s="2">
        <v>1</v>
      </c>
      <c r="C67" s="1">
        <f>SUM($B$2:B67)</f>
        <v>154</v>
      </c>
      <c r="D67" s="1">
        <f t="shared" si="1"/>
        <v>1</v>
      </c>
      <c r="E67" s="1">
        <f t="shared" si="2"/>
        <v>6.4935064935064939E-3</v>
      </c>
    </row>
    <row r="68" spans="1:5" x14ac:dyDescent="0.25">
      <c r="A68" s="1">
        <v>67</v>
      </c>
      <c r="B68" s="2">
        <v>12</v>
      </c>
      <c r="C68" s="1">
        <f>SUM($B$2:B68)</f>
        <v>166</v>
      </c>
      <c r="D68" s="1">
        <f t="shared" ref="D68:D79" si="3">C68-C67</f>
        <v>12</v>
      </c>
      <c r="E68" s="1">
        <f t="shared" si="2"/>
        <v>7.2289156626506021E-2</v>
      </c>
    </row>
    <row r="69" spans="1:5" x14ac:dyDescent="0.25">
      <c r="A69" s="1">
        <v>68</v>
      </c>
      <c r="B69" s="2">
        <v>4</v>
      </c>
      <c r="C69" s="1">
        <f>SUM($B$2:B69)</f>
        <v>170</v>
      </c>
      <c r="D69" s="1">
        <f t="shared" si="3"/>
        <v>4</v>
      </c>
      <c r="E69" s="1">
        <f t="shared" si="2"/>
        <v>2.3529411764705882E-2</v>
      </c>
    </row>
    <row r="70" spans="1:5" x14ac:dyDescent="0.25">
      <c r="A70" s="1">
        <v>69</v>
      </c>
      <c r="B70" s="2">
        <v>6</v>
      </c>
      <c r="C70" s="1">
        <f>SUM($B$2:B70)</f>
        <v>176</v>
      </c>
      <c r="D70" s="1">
        <f t="shared" si="3"/>
        <v>6</v>
      </c>
      <c r="E70" s="1">
        <f t="shared" si="2"/>
        <v>3.4090909090909088E-2</v>
      </c>
    </row>
    <row r="71" spans="1:5" x14ac:dyDescent="0.25">
      <c r="A71" s="1">
        <v>70</v>
      </c>
      <c r="B71" s="2">
        <v>4</v>
      </c>
      <c r="C71" s="1">
        <f>SUM($B$2:B71)</f>
        <v>180</v>
      </c>
      <c r="D71" s="1">
        <f t="shared" si="3"/>
        <v>4</v>
      </c>
      <c r="E71" s="1">
        <f t="shared" si="2"/>
        <v>2.2222222222222223E-2</v>
      </c>
    </row>
    <row r="72" spans="1:5" x14ac:dyDescent="0.25">
      <c r="A72" s="1">
        <v>71</v>
      </c>
      <c r="B72" s="2">
        <v>7</v>
      </c>
      <c r="C72" s="1">
        <f>SUM($B$2:B72)</f>
        <v>187</v>
      </c>
      <c r="D72" s="1">
        <f t="shared" si="3"/>
        <v>7</v>
      </c>
      <c r="E72" s="1">
        <f t="shared" si="2"/>
        <v>3.7433155080213901E-2</v>
      </c>
    </row>
    <row r="73" spans="1:5" x14ac:dyDescent="0.25">
      <c r="A73" s="1">
        <v>72</v>
      </c>
      <c r="B73" s="2">
        <v>2</v>
      </c>
      <c r="C73" s="1">
        <f>SUM($B$2:B73)</f>
        <v>189</v>
      </c>
      <c r="D73" s="1">
        <f t="shared" si="3"/>
        <v>2</v>
      </c>
      <c r="E73" s="1">
        <f t="shared" si="2"/>
        <v>1.0582010582010581E-2</v>
      </c>
    </row>
    <row r="74" spans="1:5" x14ac:dyDescent="0.25">
      <c r="A74" s="1">
        <v>73</v>
      </c>
      <c r="B74" s="2">
        <v>2</v>
      </c>
      <c r="C74" s="1">
        <f>SUM($B$2:B74)</f>
        <v>191</v>
      </c>
      <c r="D74" s="1">
        <f t="shared" si="3"/>
        <v>2</v>
      </c>
      <c r="E74" s="1">
        <f t="shared" si="2"/>
        <v>1.0471204188481676E-2</v>
      </c>
    </row>
    <row r="75" spans="1:5" x14ac:dyDescent="0.25">
      <c r="A75" s="1">
        <v>74</v>
      </c>
      <c r="B75" s="2">
        <v>3</v>
      </c>
      <c r="C75" s="1">
        <f>SUM($B$2:B75)</f>
        <v>194</v>
      </c>
      <c r="D75" s="1">
        <f t="shared" si="3"/>
        <v>3</v>
      </c>
      <c r="E75" s="1">
        <f>D75/C75</f>
        <v>1.5463917525773196E-2</v>
      </c>
    </row>
    <row r="76" spans="1:5" x14ac:dyDescent="0.25">
      <c r="A76" s="1">
        <v>75</v>
      </c>
      <c r="B76" s="2">
        <v>8</v>
      </c>
      <c r="C76" s="1">
        <f>SUM($B$2:B76)</f>
        <v>202</v>
      </c>
      <c r="D76" s="1">
        <f t="shared" si="3"/>
        <v>8</v>
      </c>
      <c r="E76" s="1">
        <f t="shared" si="2"/>
        <v>3.9603960396039604E-2</v>
      </c>
    </row>
    <row r="77" spans="1:5" x14ac:dyDescent="0.25">
      <c r="A77" s="1">
        <v>76</v>
      </c>
      <c r="B77" s="2">
        <v>4</v>
      </c>
      <c r="C77" s="1">
        <f>SUM($B$2:B77)</f>
        <v>206</v>
      </c>
      <c r="D77" s="1">
        <f t="shared" si="3"/>
        <v>4</v>
      </c>
      <c r="E77" s="1">
        <f t="shared" si="2"/>
        <v>1.9417475728155338E-2</v>
      </c>
    </row>
    <row r="78" spans="1:5" x14ac:dyDescent="0.25">
      <c r="A78" s="1">
        <v>77</v>
      </c>
      <c r="B78" s="2">
        <v>6</v>
      </c>
      <c r="C78" s="1">
        <f>SUM($B$2:B78)</f>
        <v>212</v>
      </c>
      <c r="D78" s="1">
        <f t="shared" si="3"/>
        <v>6</v>
      </c>
      <c r="E78" s="1">
        <f t="shared" si="2"/>
        <v>2.8301886792452831E-2</v>
      </c>
    </row>
    <row r="79" spans="1:5" x14ac:dyDescent="0.25">
      <c r="A79" s="1">
        <v>78</v>
      </c>
      <c r="B79" s="2">
        <v>3</v>
      </c>
      <c r="C79" s="1">
        <f>SUM($B$2:B79)</f>
        <v>215</v>
      </c>
      <c r="D79" s="1">
        <f t="shared" si="3"/>
        <v>3</v>
      </c>
      <c r="E79" s="1">
        <f t="shared" si="2"/>
        <v>1.3953488372093023E-2</v>
      </c>
    </row>
    <row r="80" spans="1:5" x14ac:dyDescent="0.25">
      <c r="A80" s="1">
        <v>79</v>
      </c>
      <c r="B80" s="2">
        <v>3</v>
      </c>
      <c r="C80" s="1">
        <f>SUM($B$2:B80)</f>
        <v>218</v>
      </c>
      <c r="D80" s="1">
        <f>C80-C79</f>
        <v>3</v>
      </c>
      <c r="E80" s="1">
        <f t="shared" si="2"/>
        <v>1.3761467889908258E-2</v>
      </c>
    </row>
    <row r="81" spans="1:5" x14ac:dyDescent="0.25">
      <c r="A81" s="1">
        <v>80</v>
      </c>
      <c r="B81" s="2">
        <v>5</v>
      </c>
      <c r="C81" s="1">
        <f>SUM($B$2:B81)</f>
        <v>223</v>
      </c>
      <c r="D81" s="1">
        <f t="shared" ref="D81:D94" si="4">C81-C80</f>
        <v>5</v>
      </c>
      <c r="E81" s="1">
        <f t="shared" si="2"/>
        <v>2.2421524663677129E-2</v>
      </c>
    </row>
    <row r="82" spans="1:5" x14ac:dyDescent="0.25">
      <c r="A82" s="1">
        <v>81</v>
      </c>
      <c r="B82" s="2">
        <v>8</v>
      </c>
      <c r="C82" s="1">
        <f>SUM($B$2:B82)</f>
        <v>231</v>
      </c>
      <c r="D82" s="1">
        <f t="shared" si="4"/>
        <v>8</v>
      </c>
      <c r="E82" s="1">
        <f>D82/C82</f>
        <v>3.4632034632034632E-2</v>
      </c>
    </row>
    <row r="83" spans="1:5" x14ac:dyDescent="0.25">
      <c r="A83" s="1">
        <v>82</v>
      </c>
      <c r="B83" s="2">
        <v>0</v>
      </c>
      <c r="C83" s="1">
        <f>SUM($B$2:B83)</f>
        <v>231</v>
      </c>
      <c r="D83" s="1">
        <f t="shared" si="4"/>
        <v>0</v>
      </c>
      <c r="E83" s="1">
        <f t="shared" ref="E83:E94" si="5">D83/C83</f>
        <v>0</v>
      </c>
    </row>
    <row r="84" spans="1:5" x14ac:dyDescent="0.25">
      <c r="A84" s="1">
        <v>83</v>
      </c>
      <c r="B84" s="2">
        <v>6</v>
      </c>
      <c r="C84" s="1">
        <f>SUM($B$2:B84)</f>
        <v>237</v>
      </c>
      <c r="D84" s="1">
        <f t="shared" si="4"/>
        <v>6</v>
      </c>
      <c r="E84" s="1">
        <f t="shared" si="5"/>
        <v>2.5316455696202531E-2</v>
      </c>
    </row>
    <row r="85" spans="1:5" x14ac:dyDescent="0.25">
      <c r="A85" s="1">
        <v>84</v>
      </c>
      <c r="B85" s="2">
        <v>5</v>
      </c>
      <c r="C85" s="1">
        <f>SUM($B$2:B85)</f>
        <v>242</v>
      </c>
      <c r="D85" s="1">
        <f t="shared" si="4"/>
        <v>5</v>
      </c>
      <c r="E85" s="1">
        <f t="shared" si="5"/>
        <v>2.0661157024793389E-2</v>
      </c>
    </row>
    <row r="86" spans="1:5" x14ac:dyDescent="0.25">
      <c r="A86" s="1">
        <v>85</v>
      </c>
      <c r="B86" s="2">
        <v>10</v>
      </c>
      <c r="C86" s="1">
        <f>SUM($B$2:B86)</f>
        <v>252</v>
      </c>
      <c r="D86" s="1">
        <f t="shared" si="4"/>
        <v>10</v>
      </c>
      <c r="E86" s="1">
        <f t="shared" si="5"/>
        <v>3.968253968253968E-2</v>
      </c>
    </row>
    <row r="87" spans="1:5" x14ac:dyDescent="0.25">
      <c r="A87" s="1">
        <v>86</v>
      </c>
      <c r="B87" s="2">
        <v>0</v>
      </c>
      <c r="C87" s="1">
        <f>SUM($B$2:B87)</f>
        <v>252</v>
      </c>
      <c r="D87" s="1">
        <f t="shared" si="4"/>
        <v>0</v>
      </c>
      <c r="E87" s="1">
        <f t="shared" si="5"/>
        <v>0</v>
      </c>
    </row>
    <row r="88" spans="1:5" x14ac:dyDescent="0.25">
      <c r="A88" s="1">
        <v>87</v>
      </c>
      <c r="B88" s="2">
        <v>5</v>
      </c>
      <c r="C88" s="1">
        <f>SUM($B$2:B88)</f>
        <v>257</v>
      </c>
      <c r="D88" s="1">
        <f t="shared" si="4"/>
        <v>5</v>
      </c>
      <c r="E88" s="1">
        <f t="shared" si="5"/>
        <v>1.9455252918287938E-2</v>
      </c>
    </row>
    <row r="89" spans="1:5" x14ac:dyDescent="0.25">
      <c r="A89" s="1">
        <v>88</v>
      </c>
      <c r="B89" s="2">
        <v>1</v>
      </c>
      <c r="C89" s="1">
        <f>SUM($B$2:B89)</f>
        <v>258</v>
      </c>
      <c r="D89" s="1">
        <f t="shared" si="4"/>
        <v>1</v>
      </c>
      <c r="E89" s="1">
        <f t="shared" si="5"/>
        <v>3.875968992248062E-3</v>
      </c>
    </row>
    <row r="90" spans="1:5" x14ac:dyDescent="0.25">
      <c r="A90" s="1">
        <v>89</v>
      </c>
      <c r="B90" s="2">
        <v>2</v>
      </c>
      <c r="C90" s="1">
        <f>SUM($B$2:B90)</f>
        <v>260</v>
      </c>
      <c r="D90" s="1">
        <f t="shared" si="4"/>
        <v>2</v>
      </c>
      <c r="E90" s="1">
        <f t="shared" si="5"/>
        <v>7.6923076923076927E-3</v>
      </c>
    </row>
    <row r="91" spans="1:5" x14ac:dyDescent="0.25">
      <c r="A91" s="1">
        <v>90</v>
      </c>
      <c r="B91" s="2">
        <v>1</v>
      </c>
      <c r="C91" s="1">
        <f>SUM($B$2:B91)</f>
        <v>261</v>
      </c>
      <c r="D91" s="1">
        <f t="shared" si="4"/>
        <v>1</v>
      </c>
      <c r="E91" s="1">
        <f t="shared" si="5"/>
        <v>3.8314176245210726E-3</v>
      </c>
    </row>
    <row r="92" spans="1:5" x14ac:dyDescent="0.25">
      <c r="A92" s="1">
        <v>91</v>
      </c>
      <c r="B92" s="2">
        <v>2</v>
      </c>
      <c r="C92" s="1">
        <f>SUM($B$2:B92)</f>
        <v>263</v>
      </c>
      <c r="D92" s="1">
        <f t="shared" si="4"/>
        <v>2</v>
      </c>
      <c r="E92" s="1">
        <f t="shared" si="5"/>
        <v>7.6045627376425855E-3</v>
      </c>
    </row>
    <row r="93" spans="1:5" x14ac:dyDescent="0.25">
      <c r="A93" s="1">
        <v>92</v>
      </c>
      <c r="B93" s="2">
        <v>1</v>
      </c>
      <c r="C93" s="1">
        <f>SUM($B$2:B93)</f>
        <v>264</v>
      </c>
      <c r="D93" s="1">
        <f t="shared" si="4"/>
        <v>1</v>
      </c>
      <c r="E93" s="1">
        <f t="shared" si="5"/>
        <v>3.787878787878788E-3</v>
      </c>
    </row>
    <row r="94" spans="1:5" x14ac:dyDescent="0.25">
      <c r="A94" s="1">
        <v>93</v>
      </c>
      <c r="B94" s="2">
        <v>0</v>
      </c>
      <c r="C94" s="1">
        <f>SUM($B$2:B94)</f>
        <v>264</v>
      </c>
      <c r="D94" s="1">
        <f t="shared" si="4"/>
        <v>0</v>
      </c>
      <c r="E94" s="1">
        <f t="shared" si="5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9A6AE-0627-422A-B7E1-F73F8E88F8C1}">
  <dimension ref="A1:B14"/>
  <sheetViews>
    <sheetView zoomScale="115" zoomScaleNormal="115" workbookViewId="0">
      <selection activeCell="D8" sqref="D8"/>
    </sheetView>
  </sheetViews>
  <sheetFormatPr defaultRowHeight="15.75" x14ac:dyDescent="0.25"/>
  <cols>
    <col min="2" max="2" width="16.875" customWidth="1"/>
  </cols>
  <sheetData>
    <row r="1" spans="1:2" x14ac:dyDescent="0.25">
      <c r="A1" t="s">
        <v>9</v>
      </c>
      <c r="B1">
        <f>RegresjaLogistyczna1!A94</f>
        <v>93</v>
      </c>
    </row>
    <row r="2" spans="1:2" x14ac:dyDescent="0.25">
      <c r="A2" t="s">
        <v>3</v>
      </c>
      <c r="B2">
        <v>8.8467699999999996E-2</v>
      </c>
    </row>
    <row r="3" spans="1:2" x14ac:dyDescent="0.25">
      <c r="A3" t="s">
        <v>4</v>
      </c>
      <c r="B3" s="5">
        <v>-3.2847900000000001E-4</v>
      </c>
    </row>
    <row r="5" spans="1:2" x14ac:dyDescent="0.25">
      <c r="A5" t="s">
        <v>5</v>
      </c>
      <c r="B5">
        <f>B2</f>
        <v>8.8467699999999996E-2</v>
      </c>
    </row>
    <row r="6" spans="1:2" x14ac:dyDescent="0.25">
      <c r="A6" t="s">
        <v>6</v>
      </c>
      <c r="B6" s="4">
        <f>-B5/B3</f>
        <v>269.32528411253077</v>
      </c>
    </row>
    <row r="11" spans="1:2" x14ac:dyDescent="0.25">
      <c r="A11" t="s">
        <v>8</v>
      </c>
      <c r="B11">
        <f>RegresjaLogistyczna2!B5*SUM(RegresjaLogistyczna1!A2:A94)</f>
        <v>386.69231669999999</v>
      </c>
    </row>
    <row r="13" spans="1:2" x14ac:dyDescent="0.25">
      <c r="A13" t="s">
        <v>10</v>
      </c>
      <c r="B13">
        <f>(RegresjaLogistyczna3!B95+B11)/RegresjaLogistyczna2!B1</f>
        <v>5.4588870073641838</v>
      </c>
    </row>
    <row r="14" spans="1:2" x14ac:dyDescent="0.25">
      <c r="A14" t="s">
        <v>11</v>
      </c>
      <c r="B14">
        <f>EXP(B13)</f>
        <v>234.83590822298709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CF771-0DF5-4A7C-9D2B-F392E6E64B83}">
  <dimension ref="A1:B95"/>
  <sheetViews>
    <sheetView zoomScale="175" zoomScaleNormal="175" workbookViewId="0">
      <selection activeCell="D6" sqref="D6"/>
    </sheetView>
  </sheetViews>
  <sheetFormatPr defaultRowHeight="15.75" x14ac:dyDescent="0.25"/>
  <cols>
    <col min="1" max="1" width="18" bestFit="1" customWidth="1"/>
    <col min="2" max="2" width="20.625" bestFit="1" customWidth="1"/>
    <col min="3" max="3" width="11.875" bestFit="1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f>(RegresjaLogistyczna2!$B$6/RegresjaLogistyczna1!C2)-1</f>
        <v>268.32528411253077</v>
      </c>
      <c r="B2">
        <f>LN(A2)</f>
        <v>5.5921999912043727</v>
      </c>
    </row>
    <row r="3" spans="1:2" x14ac:dyDescent="0.25">
      <c r="A3">
        <f>(RegresjaLogistyczna2!$B$6/RegresjaLogistyczna1!C3)-1</f>
        <v>268.32528411253077</v>
      </c>
      <c r="B3">
        <f t="shared" ref="B3:B66" si="0">LN(A3)</f>
        <v>5.5921999912043727</v>
      </c>
    </row>
    <row r="4" spans="1:2" x14ac:dyDescent="0.25">
      <c r="A4">
        <f>(RegresjaLogistyczna2!$B$6/RegresjaLogistyczna1!C4)-1</f>
        <v>268.32528411253077</v>
      </c>
      <c r="B4">
        <f t="shared" si="0"/>
        <v>5.5921999912043727</v>
      </c>
    </row>
    <row r="5" spans="1:2" x14ac:dyDescent="0.25">
      <c r="A5">
        <f>(RegresjaLogistyczna2!$B$6/RegresjaLogistyczna1!C5)-1</f>
        <v>268.32528411253077</v>
      </c>
      <c r="B5">
        <f t="shared" si="0"/>
        <v>5.5921999912043727</v>
      </c>
    </row>
    <row r="6" spans="1:2" x14ac:dyDescent="0.25">
      <c r="A6">
        <f>(RegresjaLogistyczna2!$B$6/RegresjaLogistyczna1!C6)-1</f>
        <v>268.32528411253077</v>
      </c>
      <c r="B6">
        <f t="shared" si="0"/>
        <v>5.5921999912043727</v>
      </c>
    </row>
    <row r="7" spans="1:2" x14ac:dyDescent="0.25">
      <c r="A7">
        <f>(RegresjaLogistyczna2!$B$6/RegresjaLogistyczna1!C7)-1</f>
        <v>268.32528411253077</v>
      </c>
      <c r="B7">
        <f t="shared" si="0"/>
        <v>5.5921999912043727</v>
      </c>
    </row>
    <row r="8" spans="1:2" x14ac:dyDescent="0.25">
      <c r="A8">
        <f>(RegresjaLogistyczna2!$B$6/RegresjaLogistyczna1!C8)-1</f>
        <v>268.32528411253077</v>
      </c>
      <c r="B8">
        <f t="shared" si="0"/>
        <v>5.5921999912043727</v>
      </c>
    </row>
    <row r="9" spans="1:2" x14ac:dyDescent="0.25">
      <c r="A9">
        <f>(RegresjaLogistyczna2!$B$6/RegresjaLogistyczna1!C9)-1</f>
        <v>268.32528411253077</v>
      </c>
      <c r="B9">
        <f t="shared" si="0"/>
        <v>5.5921999912043727</v>
      </c>
    </row>
    <row r="10" spans="1:2" x14ac:dyDescent="0.25">
      <c r="A10">
        <f>(RegresjaLogistyczna2!$B$6/RegresjaLogistyczna1!C10)-1</f>
        <v>268.32528411253077</v>
      </c>
      <c r="B10">
        <f t="shared" si="0"/>
        <v>5.5921999912043727</v>
      </c>
    </row>
    <row r="11" spans="1:2" x14ac:dyDescent="0.25">
      <c r="A11">
        <f>(RegresjaLogistyczna2!$B$6/RegresjaLogistyczna1!C11)-1</f>
        <v>268.32528411253077</v>
      </c>
      <c r="B11">
        <f t="shared" si="0"/>
        <v>5.5921999912043727</v>
      </c>
    </row>
    <row r="12" spans="1:2" x14ac:dyDescent="0.25">
      <c r="A12">
        <f>(RegresjaLogistyczna2!$B$6/RegresjaLogistyczna1!C12)-1</f>
        <v>268.32528411253077</v>
      </c>
      <c r="B12">
        <f t="shared" si="0"/>
        <v>5.5921999912043727</v>
      </c>
    </row>
    <row r="13" spans="1:2" x14ac:dyDescent="0.25">
      <c r="A13">
        <f>(RegresjaLogistyczna2!$B$6/RegresjaLogistyczna1!C13)-1</f>
        <v>268.32528411253077</v>
      </c>
      <c r="B13">
        <f t="shared" si="0"/>
        <v>5.5921999912043727</v>
      </c>
    </row>
    <row r="14" spans="1:2" x14ac:dyDescent="0.25">
      <c r="A14">
        <f>(RegresjaLogistyczna2!$B$6/RegresjaLogistyczna1!C14)-1</f>
        <v>268.32528411253077</v>
      </c>
      <c r="B14">
        <f t="shared" si="0"/>
        <v>5.5921999912043727</v>
      </c>
    </row>
    <row r="15" spans="1:2" x14ac:dyDescent="0.25">
      <c r="A15">
        <f>(RegresjaLogistyczna2!$B$6/RegresjaLogistyczna1!C15)-1</f>
        <v>268.32528411253077</v>
      </c>
      <c r="B15">
        <f t="shared" si="0"/>
        <v>5.5921999912043727</v>
      </c>
    </row>
    <row r="16" spans="1:2" x14ac:dyDescent="0.25">
      <c r="A16">
        <f>(RegresjaLogistyczna2!$B$6/RegresjaLogistyczna1!C16)-1</f>
        <v>268.32528411253077</v>
      </c>
      <c r="B16">
        <f t="shared" si="0"/>
        <v>5.5921999912043727</v>
      </c>
    </row>
    <row r="17" spans="1:2" x14ac:dyDescent="0.25">
      <c r="A17">
        <f>(RegresjaLogistyczna2!$B$6/RegresjaLogistyczna1!C17)-1</f>
        <v>268.32528411253077</v>
      </c>
      <c r="B17">
        <f t="shared" si="0"/>
        <v>5.5921999912043727</v>
      </c>
    </row>
    <row r="18" spans="1:2" x14ac:dyDescent="0.25">
      <c r="A18">
        <f>(RegresjaLogistyczna2!$B$6/RegresjaLogistyczna1!C18)-1</f>
        <v>268.32528411253077</v>
      </c>
      <c r="B18">
        <f t="shared" si="0"/>
        <v>5.5921999912043727</v>
      </c>
    </row>
    <row r="19" spans="1:2" x14ac:dyDescent="0.25">
      <c r="A19">
        <f>(RegresjaLogistyczna2!$B$6/RegresjaLogistyczna1!C19)-1</f>
        <v>268.32528411253077</v>
      </c>
      <c r="B19">
        <f t="shared" si="0"/>
        <v>5.5921999912043727</v>
      </c>
    </row>
    <row r="20" spans="1:2" x14ac:dyDescent="0.25">
      <c r="A20">
        <f>(RegresjaLogistyczna2!$B$6/RegresjaLogistyczna1!C20)-1</f>
        <v>268.32528411253077</v>
      </c>
      <c r="B20">
        <f t="shared" si="0"/>
        <v>5.5921999912043727</v>
      </c>
    </row>
    <row r="21" spans="1:2" x14ac:dyDescent="0.25">
      <c r="A21">
        <f>(RegresjaLogistyczna2!$B$6/RegresjaLogistyczna1!C21)-1</f>
        <v>133.66264205626538</v>
      </c>
      <c r="B21">
        <f t="shared" si="0"/>
        <v>4.8953190288804178</v>
      </c>
    </row>
    <row r="22" spans="1:2" x14ac:dyDescent="0.25">
      <c r="A22">
        <f>(RegresjaLogistyczna2!$B$6/RegresjaLogistyczna1!C22)-1</f>
        <v>23.484116737502799</v>
      </c>
      <c r="B22">
        <f t="shared" si="0"/>
        <v>3.1563243091273634</v>
      </c>
    </row>
    <row r="23" spans="1:2" x14ac:dyDescent="0.25">
      <c r="A23">
        <f>(RegresjaLogistyczna2!$B$6/RegresjaLogistyczna1!C23)-1</f>
        <v>23.484116737502799</v>
      </c>
      <c r="B23">
        <f t="shared" si="0"/>
        <v>3.1563243091273634</v>
      </c>
    </row>
    <row r="24" spans="1:2" x14ac:dyDescent="0.25">
      <c r="A24">
        <f>(RegresjaLogistyczna2!$B$6/RegresjaLogistyczna1!C24)-1</f>
        <v>23.484116737502799</v>
      </c>
      <c r="B24">
        <f t="shared" si="0"/>
        <v>3.1563243091273634</v>
      </c>
    </row>
    <row r="25" spans="1:2" x14ac:dyDescent="0.25">
      <c r="A25">
        <f>(RegresjaLogistyczna2!$B$6/RegresjaLogistyczna1!C25)-1</f>
        <v>18.237520293752198</v>
      </c>
      <c r="B25">
        <f t="shared" si="0"/>
        <v>2.9034810265968631</v>
      </c>
    </row>
    <row r="26" spans="1:2" x14ac:dyDescent="0.25">
      <c r="A26">
        <f>(RegresjaLogistyczna2!$B$6/RegresjaLogistyczna1!C26)-1</f>
        <v>16.955018940835384</v>
      </c>
      <c r="B26">
        <f t="shared" si="0"/>
        <v>2.8305638927008578</v>
      </c>
    </row>
    <row r="27" spans="1:2" x14ac:dyDescent="0.25">
      <c r="A27">
        <f>(RegresjaLogistyczna2!$B$6/RegresjaLogistyczna1!C27)-1</f>
        <v>15.832830257033173</v>
      </c>
      <c r="B27">
        <f t="shared" si="0"/>
        <v>2.7620856486276955</v>
      </c>
    </row>
    <row r="28" spans="1:2" x14ac:dyDescent="0.25">
      <c r="A28">
        <f>(RegresjaLogistyczna2!$B$6/RegresjaLogistyczna1!C28)-1</f>
        <v>15.832830257033173</v>
      </c>
      <c r="B28">
        <f t="shared" si="0"/>
        <v>2.7620856486276955</v>
      </c>
    </row>
    <row r="29" spans="1:2" x14ac:dyDescent="0.25">
      <c r="A29">
        <f>(RegresjaLogistyczna2!$B$6/RegresjaLogistyczna1!C29)-1</f>
        <v>14.84266377132534</v>
      </c>
      <c r="B29">
        <f t="shared" si="0"/>
        <v>2.6975057210465962</v>
      </c>
    </row>
    <row r="30" spans="1:2" x14ac:dyDescent="0.25">
      <c r="A30">
        <f>(RegresjaLogistyczna2!$B$6/RegresjaLogistyczna1!C30)-1</f>
        <v>14.84266377132534</v>
      </c>
      <c r="B30">
        <f t="shared" si="0"/>
        <v>2.6975057210465962</v>
      </c>
    </row>
    <row r="31" spans="1:2" x14ac:dyDescent="0.25">
      <c r="A31">
        <f>(RegresjaLogistyczna2!$B$6/RegresjaLogistyczna1!C31)-1</f>
        <v>13.175014953291093</v>
      </c>
      <c r="B31">
        <f t="shared" si="0"/>
        <v>2.5783222294014378</v>
      </c>
    </row>
    <row r="32" spans="1:2" x14ac:dyDescent="0.25">
      <c r="A32">
        <f>(RegresjaLogistyczna2!$B$6/RegresjaLogistyczna1!C32)-1</f>
        <v>8.2870787625010607</v>
      </c>
      <c r="B32">
        <f t="shared" si="0"/>
        <v>2.114697526166021</v>
      </c>
    </row>
    <row r="33" spans="1:2" x14ac:dyDescent="0.25">
      <c r="A33">
        <f>(RegresjaLogistyczna2!$B$6/RegresjaLogistyczna1!C33)-1</f>
        <v>8.2870787625010607</v>
      </c>
      <c r="B33">
        <f t="shared" si="0"/>
        <v>2.114697526166021</v>
      </c>
    </row>
    <row r="34" spans="1:2" x14ac:dyDescent="0.25">
      <c r="A34">
        <f>(RegresjaLogistyczna2!$B$6/RegresjaLogistyczna1!C34)-1</f>
        <v>4.9850063136117946</v>
      </c>
      <c r="B34">
        <f t="shared" si="0"/>
        <v>1.6064346699349243</v>
      </c>
    </row>
    <row r="35" spans="1:2" x14ac:dyDescent="0.25">
      <c r="A35">
        <f>(RegresjaLogistyczna2!$B$6/RegresjaLogistyczna1!C35)-1</f>
        <v>4.9850063136117946</v>
      </c>
      <c r="B35">
        <f t="shared" si="0"/>
        <v>1.6064346699349243</v>
      </c>
    </row>
    <row r="36" spans="1:2" x14ac:dyDescent="0.25">
      <c r="A36">
        <f>(RegresjaLogistyczna2!$B$6/RegresjaLogistyczna1!C36)-1</f>
        <v>4.7303251938836333</v>
      </c>
      <c r="B36">
        <f t="shared" si="0"/>
        <v>1.5539939514901813</v>
      </c>
    </row>
    <row r="37" spans="1:2" x14ac:dyDescent="0.25">
      <c r="A37">
        <f>(RegresjaLogistyczna2!$B$6/RegresjaLogistyczna1!C37)-1</f>
        <v>4.4964343696434854</v>
      </c>
      <c r="B37">
        <f t="shared" si="0"/>
        <v>1.5032847203898942</v>
      </c>
    </row>
    <row r="38" spans="1:2" x14ac:dyDescent="0.25">
      <c r="A38">
        <f>(RegresjaLogistyczna2!$B$6/RegresjaLogistyczna1!C38)-1</f>
        <v>4.3865056822506157</v>
      </c>
      <c r="B38">
        <f t="shared" si="0"/>
        <v>1.4785329379805647</v>
      </c>
    </row>
    <row r="39" spans="1:2" x14ac:dyDescent="0.25">
      <c r="A39">
        <f>(RegresjaLogistyczna2!$B$6/RegresjaLogistyczna1!C39)-1</f>
        <v>4.2808879237751132</v>
      </c>
      <c r="B39">
        <f t="shared" si="0"/>
        <v>1.45416044690306</v>
      </c>
    </row>
    <row r="40" spans="1:2" x14ac:dyDescent="0.25">
      <c r="A40">
        <f>(RegresjaLogistyczna2!$B$6/RegresjaLogistyczna1!C40)-1</f>
        <v>4.1793323867794374</v>
      </c>
      <c r="B40">
        <f t="shared" si="0"/>
        <v>1.430151517699219</v>
      </c>
    </row>
    <row r="41" spans="1:2" x14ac:dyDescent="0.25">
      <c r="A41">
        <f>(RegresjaLogistyczna2!$B$6/RegresjaLogistyczna1!C41)-1</f>
        <v>4.1793323867794374</v>
      </c>
      <c r="B41">
        <f t="shared" si="0"/>
        <v>1.430151517699219</v>
      </c>
    </row>
    <row r="42" spans="1:2" x14ac:dyDescent="0.25">
      <c r="A42">
        <f>(RegresjaLogistyczna2!$B$6/RegresjaLogistyczna1!C42)-1</f>
        <v>3.8968233475005594</v>
      </c>
      <c r="B42">
        <f t="shared" si="0"/>
        <v>1.3601616949469175</v>
      </c>
    </row>
    <row r="43" spans="1:2" x14ac:dyDescent="0.25">
      <c r="A43">
        <f>(RegresjaLogistyczna2!$B$6/RegresjaLogistyczna1!C43)-1</f>
        <v>3.7250049844303641</v>
      </c>
      <c r="B43">
        <f t="shared" si="0"/>
        <v>1.3150681899327388</v>
      </c>
    </row>
    <row r="44" spans="1:2" x14ac:dyDescent="0.25">
      <c r="A44">
        <f>(RegresjaLogistyczna2!$B$6/RegresjaLogistyczna1!C44)-1</f>
        <v>3.6435393812505303</v>
      </c>
      <c r="B44">
        <f t="shared" si="0"/>
        <v>1.2929555667017427</v>
      </c>
    </row>
    <row r="45" spans="1:2" x14ac:dyDescent="0.25">
      <c r="A45">
        <f>(RegresjaLogistyczna2!$B$6/RegresjaLogistyczna1!C45)-1</f>
        <v>3.2082075642582932</v>
      </c>
      <c r="B45">
        <f t="shared" si="0"/>
        <v>1.1657123899867068</v>
      </c>
    </row>
    <row r="46" spans="1:2" x14ac:dyDescent="0.25">
      <c r="A46">
        <f>(RegresjaLogistyczna2!$B$6/RegresjaLogistyczna1!C46)-1</f>
        <v>3.0197803598885189</v>
      </c>
      <c r="B46">
        <f t="shared" si="0"/>
        <v>1.1051841002281961</v>
      </c>
    </row>
    <row r="47" spans="1:2" x14ac:dyDescent="0.25">
      <c r="A47">
        <f>(RegresjaLogistyczna2!$B$6/RegresjaLogistyczna1!C47)-1</f>
        <v>3.0197803598885189</v>
      </c>
      <c r="B47">
        <f t="shared" si="0"/>
        <v>1.1051841002281961</v>
      </c>
    </row>
    <row r="48" spans="1:2" x14ac:dyDescent="0.25">
      <c r="A48">
        <f>(RegresjaLogistyczna2!$B$6/RegresjaLogistyczna1!C48)-1</f>
        <v>2.9606659428313349</v>
      </c>
      <c r="B48">
        <f t="shared" si="0"/>
        <v>1.0854142237178714</v>
      </c>
    </row>
    <row r="49" spans="1:2" x14ac:dyDescent="0.25">
      <c r="A49">
        <f>(RegresjaLogistyczna2!$B$6/RegresjaLogistyczna1!C49)-1</f>
        <v>2.9032649871381269</v>
      </c>
      <c r="B49">
        <f t="shared" si="0"/>
        <v>1.0658359613238537</v>
      </c>
    </row>
    <row r="50" spans="1:2" x14ac:dyDescent="0.25">
      <c r="A50">
        <f>(RegresjaLogistyczna2!$B$6/RegresjaLogistyczna1!C50)-1</f>
        <v>2.9032649871381269</v>
      </c>
      <c r="B50">
        <f t="shared" si="0"/>
        <v>1.0658359613238537</v>
      </c>
    </row>
    <row r="51" spans="1:2" x14ac:dyDescent="0.25">
      <c r="A51">
        <f>(RegresjaLogistyczna2!$B$6/RegresjaLogistyczna1!C51)-1</f>
        <v>2.9032649871381269</v>
      </c>
      <c r="B51">
        <f t="shared" si="0"/>
        <v>1.0658359613238537</v>
      </c>
    </row>
    <row r="52" spans="1:2" x14ac:dyDescent="0.25">
      <c r="A52">
        <f>(RegresjaLogistyczna2!$B$6/RegresjaLogistyczna1!C52)-1</f>
        <v>2.2448829411148283</v>
      </c>
      <c r="B52">
        <f t="shared" si="0"/>
        <v>0.80865337779238133</v>
      </c>
    </row>
    <row r="53" spans="1:2" x14ac:dyDescent="0.25">
      <c r="A53">
        <f>(RegresjaLogistyczna2!$B$6/RegresjaLogistyczna1!C53)-1</f>
        <v>2.2062533822920329</v>
      </c>
      <c r="B53">
        <f t="shared" si="0"/>
        <v>0.79129577474850799</v>
      </c>
    </row>
    <row r="54" spans="1:2" x14ac:dyDescent="0.25">
      <c r="A54">
        <f>(RegresjaLogistyczna2!$B$6/RegresjaLogistyczna1!C54)-1</f>
        <v>2.0605145921878498</v>
      </c>
      <c r="B54">
        <f t="shared" si="0"/>
        <v>0.7229557536390937</v>
      </c>
    </row>
    <row r="55" spans="1:2" x14ac:dyDescent="0.25">
      <c r="A55">
        <f>(RegresjaLogistyczna2!$B$6/RegresjaLogistyczna1!C55)-1</f>
        <v>2.0261267877812448</v>
      </c>
      <c r="B55">
        <f t="shared" si="0"/>
        <v>0.70612598421454631</v>
      </c>
    </row>
    <row r="56" spans="1:2" x14ac:dyDescent="0.25">
      <c r="A56">
        <f>(RegresjaLogistyczna2!$B$6/RegresjaLogistyczna1!C56)-1</f>
        <v>1.9925031568058973</v>
      </c>
      <c r="B56">
        <f t="shared" si="0"/>
        <v>0.68939171602521754</v>
      </c>
    </row>
    <row r="57" spans="1:2" x14ac:dyDescent="0.25">
      <c r="A57">
        <f>(RegresjaLogistyczna2!$B$6/RegresjaLogistyczna1!C57)-1</f>
        <v>1.7765493207477401</v>
      </c>
      <c r="B57">
        <f t="shared" si="0"/>
        <v>0.57467289896873353</v>
      </c>
    </row>
    <row r="58" spans="1:2" x14ac:dyDescent="0.25">
      <c r="A58">
        <f>(RegresjaLogistyczna2!$B$6/RegresjaLogistyczna1!C58)-1</f>
        <v>1.4263539109237007</v>
      </c>
      <c r="B58">
        <f t="shared" si="0"/>
        <v>0.35512147557792778</v>
      </c>
    </row>
    <row r="59" spans="1:2" x14ac:dyDescent="0.25">
      <c r="A59">
        <f>(RegresjaLogistyczna2!$B$6/RegresjaLogistyczna1!C59)-1</f>
        <v>1.3019255052353058</v>
      </c>
      <c r="B59">
        <f t="shared" si="0"/>
        <v>0.26384432650841411</v>
      </c>
    </row>
    <row r="60" spans="1:2" x14ac:dyDescent="0.25">
      <c r="A60">
        <f>(RegresjaLogistyczna2!$B$6/RegresjaLogistyczna1!C60)-1</f>
        <v>1.3019255052353058</v>
      </c>
      <c r="B60">
        <f t="shared" si="0"/>
        <v>0.26384432650841411</v>
      </c>
    </row>
    <row r="61" spans="1:2" x14ac:dyDescent="0.25">
      <c r="A61">
        <f>(RegresjaLogistyczna2!$B$6/RegresjaLogistyczna1!C61)-1</f>
        <v>1.2824176619705998</v>
      </c>
      <c r="B61">
        <f t="shared" si="0"/>
        <v>0.248747094809288</v>
      </c>
    </row>
    <row r="62" spans="1:2" x14ac:dyDescent="0.25">
      <c r="A62">
        <f>(RegresjaLogistyczna2!$B$6/RegresjaLogistyczna1!C62)-1</f>
        <v>1.244377367604423</v>
      </c>
      <c r="B62">
        <f t="shared" si="0"/>
        <v>0.21863529847995652</v>
      </c>
    </row>
    <row r="63" spans="1:2" x14ac:dyDescent="0.25">
      <c r="A63">
        <f>(RegresjaLogistyczna2!$B$6/RegresjaLogistyczna1!C63)-1</f>
        <v>0.93759197203259537</v>
      </c>
      <c r="B63">
        <f t="shared" si="0"/>
        <v>-6.4440422447969908E-2</v>
      </c>
    </row>
    <row r="64" spans="1:2" x14ac:dyDescent="0.25">
      <c r="A64">
        <f>(RegresjaLogistyczna2!$B$6/RegresjaLogistyczna1!C64)-1</f>
        <v>0.84469372679815602</v>
      </c>
      <c r="B64">
        <f t="shared" si="0"/>
        <v>-0.16878117082041355</v>
      </c>
    </row>
    <row r="65" spans="1:2" x14ac:dyDescent="0.25">
      <c r="A65">
        <f>(RegresjaLogistyczna2!$B$6/RegresjaLogistyczna1!C65)-1</f>
        <v>0.81976543319277551</v>
      </c>
      <c r="B65">
        <f t="shared" si="0"/>
        <v>-0.19873703672795065</v>
      </c>
    </row>
    <row r="66" spans="1:2" x14ac:dyDescent="0.25">
      <c r="A66">
        <f>(RegresjaLogistyczna2!$B$6/RegresjaLogistyczna1!C66)-1</f>
        <v>0.76029597459170439</v>
      </c>
      <c r="B66">
        <f t="shared" si="0"/>
        <v>-0.27404748126169048</v>
      </c>
    </row>
    <row r="67" spans="1:2" x14ac:dyDescent="0.25">
      <c r="A67">
        <f>(RegresjaLogistyczna2!$B$6/RegresjaLogistyczna1!C67)-1</f>
        <v>0.7488654812501998</v>
      </c>
      <c r="B67">
        <f t="shared" ref="B67:B94" si="1">LN(A67)</f>
        <v>-0.28919590939132911</v>
      </c>
    </row>
    <row r="68" spans="1:2" x14ac:dyDescent="0.25">
      <c r="A68">
        <f>(RegresjaLogistyczna2!$B$6/RegresjaLogistyczna1!C68)-1</f>
        <v>0.62244147055741417</v>
      </c>
      <c r="B68">
        <f t="shared" si="1"/>
        <v>-0.4741056782646737</v>
      </c>
    </row>
    <row r="69" spans="1:2" x14ac:dyDescent="0.25">
      <c r="A69">
        <f>(RegresjaLogistyczna2!$B$6/RegresjaLogistyczna1!C69)-1</f>
        <v>0.58426637713253382</v>
      </c>
      <c r="B69">
        <f t="shared" si="1"/>
        <v>-0.53739827492045833</v>
      </c>
    </row>
    <row r="70" spans="1:2" x14ac:dyDescent="0.25">
      <c r="A70">
        <f>(RegresjaLogistyczna2!$B$6/RegresjaLogistyczna1!C70)-1</f>
        <v>0.53025729609392491</v>
      </c>
      <c r="B70">
        <f t="shared" si="1"/>
        <v>-0.63439292590749274</v>
      </c>
    </row>
    <row r="71" spans="1:2" x14ac:dyDescent="0.25">
      <c r="A71">
        <f>(RegresjaLogistyczna2!$B$6/RegresjaLogistyczna1!C71)-1</f>
        <v>0.49625157840294865</v>
      </c>
      <c r="B71">
        <f t="shared" si="1"/>
        <v>-0.70067226632494151</v>
      </c>
    </row>
    <row r="72" spans="1:2" x14ac:dyDescent="0.25">
      <c r="A72">
        <f>(RegresjaLogistyczna2!$B$6/RegresjaLogistyczna1!C72)-1</f>
        <v>0.44024216102957636</v>
      </c>
      <c r="B72">
        <f t="shared" si="1"/>
        <v>-0.82043033748932803</v>
      </c>
    </row>
    <row r="73" spans="1:2" x14ac:dyDescent="0.25">
      <c r="A73">
        <f>(RegresjaLogistyczna2!$B$6/RegresjaLogistyczna1!C73)-1</f>
        <v>0.42500150324090358</v>
      </c>
      <c r="B73">
        <f t="shared" si="1"/>
        <v>-0.85566257302655535</v>
      </c>
    </row>
    <row r="74" spans="1:2" x14ac:dyDescent="0.25">
      <c r="A74">
        <f>(RegresjaLogistyczna2!$B$6/RegresjaLogistyczna1!C74)-1</f>
        <v>0.41008002153157475</v>
      </c>
      <c r="B74">
        <f t="shared" si="1"/>
        <v>-0.89140296386058648</v>
      </c>
    </row>
    <row r="75" spans="1:2" x14ac:dyDescent="0.25">
      <c r="A75">
        <f>(RegresjaLogistyczna2!$B$6/RegresjaLogistyczna1!C75)-1</f>
        <v>0.38827466037387004</v>
      </c>
      <c r="B75">
        <f t="shared" si="1"/>
        <v>-0.9460423022315636</v>
      </c>
    </row>
    <row r="76" spans="1:2" x14ac:dyDescent="0.25">
      <c r="A76">
        <f>(RegresjaLogistyczna2!$B$6/RegresjaLogistyczna1!C76)-1</f>
        <v>0.3332934857055978</v>
      </c>
      <c r="B76">
        <f t="shared" si="1"/>
        <v>-1.0987318386971363</v>
      </c>
    </row>
    <row r="77" spans="1:2" x14ac:dyDescent="0.25">
      <c r="A77">
        <f>(RegresjaLogistyczna2!$B$6/RegresjaLogistyczna1!C77)-1</f>
        <v>0.30740429180840168</v>
      </c>
      <c r="B77">
        <f t="shared" si="1"/>
        <v>-1.17959148633424</v>
      </c>
    </row>
    <row r="78" spans="1:2" x14ac:dyDescent="0.25">
      <c r="A78">
        <f>(RegresjaLogistyczna2!$B$6/RegresjaLogistyczna1!C78)-1</f>
        <v>0.27040228354967333</v>
      </c>
      <c r="B78">
        <f t="shared" si="1"/>
        <v>-1.3078444897688346</v>
      </c>
    </row>
    <row r="79" spans="1:2" x14ac:dyDescent="0.25">
      <c r="A79">
        <f>(RegresjaLogistyczna2!$B$6/RegresjaLogistyczna1!C79)-1</f>
        <v>0.25267574005828264</v>
      </c>
      <c r="B79">
        <f t="shared" si="1"/>
        <v>-1.3756482721317349</v>
      </c>
    </row>
    <row r="80" spans="1:2" x14ac:dyDescent="0.25">
      <c r="A80">
        <f>(RegresjaLogistyczna2!$B$6/RegresjaLogistyczna1!C80)-1</f>
        <v>0.23543708308500344</v>
      </c>
      <c r="B80">
        <f t="shared" si="1"/>
        <v>-1.4463115643410933</v>
      </c>
    </row>
    <row r="81" spans="1:2" x14ac:dyDescent="0.25">
      <c r="A81">
        <f>(RegresjaLogistyczna2!$B$6/RegresjaLogistyczna1!C81)-1</f>
        <v>0.20773670005619183</v>
      </c>
      <c r="B81">
        <f t="shared" si="1"/>
        <v>-1.5714838662793149</v>
      </c>
    </row>
    <row r="82" spans="1:2" x14ac:dyDescent="0.25">
      <c r="A82">
        <f>(RegresjaLogistyczna2!$B$6/RegresjaLogistyczna1!C82)-1</f>
        <v>0.16591032083346646</v>
      </c>
      <c r="B82">
        <f t="shared" si="1"/>
        <v>-1.7963078725485822</v>
      </c>
    </row>
    <row r="83" spans="1:2" x14ac:dyDescent="0.25">
      <c r="A83">
        <f>(RegresjaLogistyczna2!$B$6/RegresjaLogistyczna1!C83)-1</f>
        <v>0.16591032083346646</v>
      </c>
      <c r="B83">
        <f t="shared" si="1"/>
        <v>-1.7963078725485822</v>
      </c>
    </row>
    <row r="84" spans="1:2" x14ac:dyDescent="0.25">
      <c r="A84">
        <f>(RegresjaLogistyczna2!$B$6/RegresjaLogistyczna1!C84)-1</f>
        <v>0.13639360385034083</v>
      </c>
      <c r="B84">
        <f t="shared" si="1"/>
        <v>-1.9922104272650765</v>
      </c>
    </row>
    <row r="85" spans="1:2" x14ac:dyDescent="0.25">
      <c r="A85">
        <f>(RegresjaLogistyczna2!$B$6/RegresjaLogistyczna1!C85)-1</f>
        <v>0.11291439715921814</v>
      </c>
      <c r="B85">
        <f t="shared" si="1"/>
        <v>-2.1811252946172766</v>
      </c>
    </row>
    <row r="86" spans="1:2" x14ac:dyDescent="0.25">
      <c r="A86">
        <f>(RegresjaLogistyczna2!$B$6/RegresjaLogistyczna1!C86)-1</f>
        <v>6.8751127430677572E-2</v>
      </c>
      <c r="B86">
        <f t="shared" si="1"/>
        <v>-2.6772621435782447</v>
      </c>
    </row>
    <row r="87" spans="1:2" x14ac:dyDescent="0.25">
      <c r="A87">
        <f>(RegresjaLogistyczna2!$B$6/RegresjaLogistyczna1!C87)-1</f>
        <v>6.8751127430677572E-2</v>
      </c>
      <c r="B87">
        <f t="shared" si="1"/>
        <v>-2.6772621435782447</v>
      </c>
    </row>
    <row r="88" spans="1:2" x14ac:dyDescent="0.25">
      <c r="A88">
        <f>(RegresjaLogistyczna2!$B$6/RegresjaLogistyczna1!C88)-1</f>
        <v>4.7958303939808378E-2</v>
      </c>
      <c r="B88">
        <f t="shared" si="1"/>
        <v>-3.0374233135055198</v>
      </c>
    </row>
    <row r="89" spans="1:2" x14ac:dyDescent="0.25">
      <c r="A89">
        <f>(RegresjaLogistyczna2!$B$6/RegresjaLogistyczna1!C89)-1</f>
        <v>4.3896450048568791E-2</v>
      </c>
      <c r="B89">
        <f t="shared" si="1"/>
        <v>-3.1259218266680153</v>
      </c>
    </row>
    <row r="90" spans="1:2" x14ac:dyDescent="0.25">
      <c r="A90">
        <f>(RegresjaLogistyczna2!$B$6/RegresjaLogistyczna1!C90)-1</f>
        <v>3.586647735588766E-2</v>
      </c>
      <c r="B90">
        <f t="shared" si="1"/>
        <v>-3.3279521981180631</v>
      </c>
    </row>
    <row r="91" spans="1:2" x14ac:dyDescent="0.25">
      <c r="A91">
        <f>(RegresjaLogistyczna2!$B$6/RegresjaLogistyczna1!C91)-1</f>
        <v>3.1897640277895656E-2</v>
      </c>
      <c r="B91">
        <f t="shared" si="1"/>
        <v>-3.4452232444071971</v>
      </c>
    </row>
    <row r="92" spans="1:2" x14ac:dyDescent="0.25">
      <c r="A92">
        <f>(RegresjaLogistyczna2!$B$6/RegresjaLogistyczna1!C92)-1</f>
        <v>2.4050509933577047E-2</v>
      </c>
      <c r="B92">
        <f t="shared" si="1"/>
        <v>-3.7275990795958118</v>
      </c>
    </row>
    <row r="93" spans="1:2" x14ac:dyDescent="0.25">
      <c r="A93">
        <f>(RegresjaLogistyczna2!$B$6/RegresjaLogistyczna1!C93)-1</f>
        <v>2.0171530729283127E-2</v>
      </c>
      <c r="B93">
        <f t="shared" si="1"/>
        <v>-3.9034830385082584</v>
      </c>
    </row>
    <row r="94" spans="1:2" x14ac:dyDescent="0.25">
      <c r="A94">
        <f>(RegresjaLogistyczna2!$B$6/RegresjaLogistyczna1!C94)-1</f>
        <v>2.0171530729283127E-2</v>
      </c>
      <c r="B94">
        <f t="shared" si="1"/>
        <v>-3.9034830385082584</v>
      </c>
    </row>
    <row r="95" spans="1:2" x14ac:dyDescent="0.25">
      <c r="A95" t="s">
        <v>7</v>
      </c>
      <c r="B95">
        <f>SUM(B2:B94)</f>
        <v>120.98417498486916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66af1e9-d714-4a1f-8101-22a504f9622f}" enabled="0" method="" siteId="{e66af1e9-d714-4a1f-8101-22a504f9622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RegresjaLogistyczna1</vt:lpstr>
      <vt:lpstr>RegresjaLogistyczna2</vt:lpstr>
      <vt:lpstr>RegresjaLogistyczna3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Płatkowski Zbigniew</dc:creator>
  <cp:lastModifiedBy>Płatkowski Zbigniew</cp:lastModifiedBy>
  <dcterms:created xsi:type="dcterms:W3CDTF">2025-12-21T19:11:20Z</dcterms:created>
  <dcterms:modified xsi:type="dcterms:W3CDTF">2026-01-23T09:27:28Z</dcterms:modified>
</cp:coreProperties>
</file>