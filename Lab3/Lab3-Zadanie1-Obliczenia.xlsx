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tudentwat-my.sharepoint.com/personal/u57266_student_wat_edu_pl/Documents/KOPIE DO SYNCHRONIZACJI/5. SEMESTR/MED/LABORATORIUM/LAB3/ZAD1/"/>
    </mc:Choice>
  </mc:AlternateContent>
  <xr:revisionPtr revIDLastSave="300" documentId="8_{00184798-1A0E-4F5B-B14C-9F4AF4DFBF80}" xr6:coauthVersionLast="47" xr6:coauthVersionMax="47" xr10:uidLastSave="{B9A25FCF-0734-4F1B-B5E6-BBA1B986518C}"/>
  <bookViews>
    <workbookView xWindow="-120" yWindow="-120" windowWidth="38640" windowHeight="21120" firstSheet="1" activeTab="1" xr2:uid="{96CBAAD6-CBB8-4D51-B71E-02ECB9EB6C9F}"/>
  </bookViews>
  <sheets>
    <sheet name="Naiwny klasyfikator Bayesa" sheetId="1" r:id="rId1"/>
    <sheet name="Metoda najbliższego sąsiedztw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85" i="2"/>
  <c r="B84" i="2"/>
  <c r="B83" i="2"/>
  <c r="B82" i="2"/>
  <c r="B81" i="2"/>
  <c r="B80" i="2"/>
  <c r="B79" i="2"/>
  <c r="B68" i="2"/>
  <c r="B67" i="2"/>
  <c r="B66" i="2"/>
  <c r="B65" i="2"/>
  <c r="B64" i="2"/>
  <c r="B63" i="2"/>
  <c r="B52" i="2"/>
  <c r="B51" i="2"/>
  <c r="B50" i="2"/>
  <c r="B49" i="2"/>
  <c r="B48" i="2"/>
  <c r="B35" i="2"/>
  <c r="B34" i="2"/>
  <c r="B32" i="2"/>
  <c r="E5" i="2"/>
  <c r="E6" i="2"/>
  <c r="E7" i="2"/>
  <c r="E8" i="2"/>
  <c r="E9" i="2"/>
  <c r="E10" i="2"/>
  <c r="E11" i="2"/>
  <c r="E12" i="2"/>
  <c r="E13" i="2"/>
  <c r="E4" i="2"/>
  <c r="D5" i="2"/>
  <c r="D6" i="2"/>
  <c r="D7" i="2"/>
  <c r="D8" i="2"/>
  <c r="D9" i="2"/>
  <c r="D10" i="2"/>
  <c r="D11" i="2"/>
  <c r="D12" i="2"/>
  <c r="D13" i="2"/>
  <c r="D14" i="2"/>
  <c r="D4" i="2"/>
  <c r="C5" i="2"/>
  <c r="C6" i="2"/>
  <c r="C7" i="2"/>
  <c r="C8" i="2"/>
  <c r="C9" i="2"/>
  <c r="C10" i="2"/>
  <c r="C11" i="2"/>
  <c r="C12" i="2"/>
  <c r="C13" i="2"/>
  <c r="C14" i="2"/>
  <c r="C4" i="2"/>
  <c r="B14" i="2"/>
  <c r="F12" i="2" s="1" a="1"/>
  <c r="F12" i="2" s="1"/>
  <c r="G12" i="2" s="1"/>
  <c r="B5" i="2"/>
  <c r="F5" i="2" s="1" a="1"/>
  <c r="F5" i="2" s="1"/>
  <c r="G5" i="2" s="1"/>
  <c r="B6" i="2"/>
  <c r="F6" i="2" s="1" a="1"/>
  <c r="F6" i="2" s="1"/>
  <c r="G6" i="2" s="1"/>
  <c r="B7" i="2"/>
  <c r="F7" i="2" s="1" a="1"/>
  <c r="F7" i="2" s="1"/>
  <c r="G7" i="2" s="1"/>
  <c r="B8" i="2"/>
  <c r="F8" i="2" s="1" a="1"/>
  <c r="F8" i="2" s="1"/>
  <c r="G8" i="2" s="1"/>
  <c r="C84" i="2" s="1"/>
  <c r="B9" i="2"/>
  <c r="F9" i="2" s="1" a="1"/>
  <c r="F9" i="2" s="1"/>
  <c r="G9" i="2" s="1"/>
  <c r="B10" i="2"/>
  <c r="F10" i="2" s="1" a="1"/>
  <c r="F10" i="2" s="1"/>
  <c r="G10" i="2" s="1"/>
  <c r="B11" i="2"/>
  <c r="B12" i="2"/>
  <c r="H12" i="2" s="1" a="1"/>
  <c r="H12" i="2" s="1"/>
  <c r="B13" i="2"/>
  <c r="F13" i="2" s="1" a="1"/>
  <c r="F13" i="2" s="1"/>
  <c r="G13" i="2" s="1"/>
  <c r="C35" i="2" s="1"/>
  <c r="B4" i="2"/>
  <c r="F4" i="2" s="1" a="1"/>
  <c r="F4" i="2" s="1"/>
  <c r="G4" i="2" s="1"/>
  <c r="C51" i="2" l="1"/>
  <c r="C33" i="2"/>
  <c r="C80" i="2"/>
  <c r="C64" i="2"/>
  <c r="C49" i="2"/>
  <c r="C52" i="2"/>
  <c r="C85" i="2"/>
  <c r="C48" i="2"/>
  <c r="C79" i="2"/>
  <c r="C50" i="2"/>
  <c r="C81" i="2"/>
  <c r="C66" i="2"/>
  <c r="C82" i="2"/>
  <c r="C83" i="2"/>
  <c r="C67" i="2"/>
  <c r="C68" i="2"/>
  <c r="H10" i="2" a="1"/>
  <c r="H10" i="2" s="1"/>
  <c r="H9" i="2" a="1"/>
  <c r="H9" i="2" s="1"/>
  <c r="H8" i="2" a="1"/>
  <c r="H8" i="2" s="1"/>
  <c r="H7" i="2" a="1"/>
  <c r="H7" i="2" s="1"/>
  <c r="H6" i="2" a="1"/>
  <c r="H6" i="2" s="1"/>
  <c r="H5" i="2" a="1"/>
  <c r="H5" i="2" s="1"/>
  <c r="H4" i="2" a="1"/>
  <c r="H4" i="2" s="1"/>
  <c r="H11" i="2" a="1"/>
  <c r="H11" i="2" s="1"/>
  <c r="H14" i="2" a="1"/>
  <c r="H14" i="2" s="1"/>
  <c r="F11" i="2" a="1"/>
  <c r="F11" i="2" s="1"/>
  <c r="G11" i="2" s="1"/>
  <c r="C65" i="2" s="1"/>
  <c r="F14" i="2" a="1"/>
  <c r="F14" i="2" s="1"/>
  <c r="G14" i="2" s="1"/>
  <c r="H13" i="2" a="1"/>
  <c r="H13" i="2" s="1"/>
  <c r="C32" i="2" l="1"/>
  <c r="C63" i="2"/>
  <c r="C3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<sst xmlns="http://schemas.openxmlformats.org/spreadsheetml/2006/main" count="213" uniqueCount="56">
  <si>
    <t>Atrybut</t>
  </si>
  <si>
    <t>x1</t>
  </si>
  <si>
    <t>x2</t>
  </si>
  <si>
    <t>x3</t>
  </si>
  <si>
    <t>d</t>
  </si>
  <si>
    <t>Nr obserwacji</t>
  </si>
  <si>
    <t>Siła wiatru</t>
  </si>
  <si>
    <t>Zachmurzenie</t>
  </si>
  <si>
    <t>Odczuwalna temperatura</t>
  </si>
  <si>
    <t>Zagrano mecz</t>
  </si>
  <si>
    <t>silny</t>
  </si>
  <si>
    <t>pochmurnie</t>
  </si>
  <si>
    <t>zimno</t>
  </si>
  <si>
    <t>nie</t>
  </si>
  <si>
    <t>ciepło</t>
  </si>
  <si>
    <t>brak</t>
  </si>
  <si>
    <t>słonecznie</t>
  </si>
  <si>
    <t>tak</t>
  </si>
  <si>
    <t>gorąco</t>
  </si>
  <si>
    <t>słaby</t>
  </si>
  <si>
    <t>?</t>
  </si>
  <si>
    <t>Naiwny klasyfikator Bayesa</t>
  </si>
  <si>
    <t>Przypadek (obiekt), który chcemy sklasyfikować oznaczymy jako X jest scharakteryzowany jako X=[x1, x2, x3]=[silny, słonecznie, ciepło].</t>
  </si>
  <si>
    <t>Przypadek X mamy sklasyfikować do jednej z klas: C1 = {d=tak}, C2 = {d=nie}</t>
  </si>
  <si>
    <t>A więc szukamy takiej decyzji d^* ∈ {tak, nie}, że</t>
  </si>
  <si>
    <t>(Czyli takiej, dla której iloczyn prawdopodbieństwa klasy oraz prawdopoboieństw wszystkich cech jest największy.)</t>
  </si>
  <si>
    <t>Pamiętając, że</t>
  </si>
  <si>
    <t>Na podstawie powyższych obliczeń prawdopodobieństw Pr{C_i} oraz Pr{X|C_i} otrzymujemy</t>
  </si>
  <si>
    <t>Stąd</t>
  </si>
  <si>
    <t>Naiwny klasyfikator Bayesa przyporządkował przypadek X=[x1, x2, x3]=[silny, słonecznie, ciepło] do klasy C_1 = {d=tak}</t>
  </si>
  <si>
    <t>d_e^2</t>
  </si>
  <si>
    <t>d_e</t>
  </si>
  <si>
    <t>d_m</t>
  </si>
  <si>
    <t>Kwadrat odległości euklidesowej</t>
  </si>
  <si>
    <t>Odległość euklidesowa</t>
  </si>
  <si>
    <t>Odległość miejska</t>
  </si>
  <si>
    <t>Atrybuty zostały zakodowane liczbowo z zachowaniem ich naturalnego porządku (np. siła wiatru: brak &lt; słaby &lt; silny), co umożliwiło obliczanie odległości w metodzie najbliższego sąsiedztwa.</t>
  </si>
  <si>
    <t>Metoda najbliższego sąsiedztwa - odległość euklidesowa, głosowanie proste</t>
  </si>
  <si>
    <t>Predykcja dla przypadku (obiektu) o numerze 11:</t>
  </si>
  <si>
    <t>Dla k=1</t>
  </si>
  <si>
    <t>Najmniejsza odległość wynosi 1, istnieją 4 przypadki z taką odległością, więc mimo że k=1 - jeden najbliższy sąsiad, musimy uwzględnić je wszystkie:</t>
  </si>
  <si>
    <t>Klasa "0"</t>
  </si>
  <si>
    <t>Klasa "1"</t>
  </si>
  <si>
    <t>Liczba wystąpień</t>
  </si>
  <si>
    <t>Decyzja przynalezności obiektu 11: klasa "1", ponieważ wystąpiła ona większa liczbę razy.</t>
  </si>
  <si>
    <t>Dla k=2, k=3, k=4 obiekt 11 również sklasyfikujemy do klasy "1", bo dalej mamy do czynienia z remisem odległości i liczba najbliższych sąsiadów pozostanie taka sama.</t>
  </si>
  <si>
    <t>Dla k=5</t>
  </si>
  <si>
    <t>Piąty najbliższy sąsiad to obiekt nr 1 o odległości 1,41, który przynależy do klasy "0". Podsumowanie wszystkich pięciu najbliższych obiektów znajduje się poniżej.</t>
  </si>
  <si>
    <t>Dla k=6</t>
  </si>
  <si>
    <t>Szósty najbliższy sąsiad to obiekt nr 5 o odległości 1,73, który przynależy do klasy "1". Podsumowanie wszystkich sześciu najbliższych obiektów znajduje się poniżej.</t>
  </si>
  <si>
    <t>Dla k=7</t>
  </si>
  <si>
    <t>Siódmy najbliższy sąsiad to obiekt nr 3 o odległości 2, który przynależy do klasy "1". Podsumowanie wszystkich siedmiu najbliższych obiektów znajduje się poniżej.</t>
  </si>
  <si>
    <t>Dla k=8 remis głosów</t>
  </si>
  <si>
    <t>Dla k=9, 10 remis głosów</t>
  </si>
  <si>
    <t>Metoda najbliższego sąsiedztwa - odległość miejska, głosowanie proste</t>
  </si>
  <si>
    <t>Rozwiązanie zawarte w sprawozdaniu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</si>
</sst>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charset val="238"/>
      <scheme val="minor"/>
    </font>
    <font>
      <sz val="11"/>
      <color rgb="FF7030A0"/>
      <name val="Aptos Narrow"/>
      <family val="2"/>
      <charset val="238"/>
      <scheme val="minor"/>
    </font>
    <font>
      <sz val="11"/>
      <color rgb="FFFFC000"/>
      <name val="Aptos Narrow"/>
      <family val="2"/>
      <charset val="238"/>
      <scheme val="minor"/>
    </font>
    <font>
      <sz val="11"/>
      <color rgb="FF00B05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2862</xdr:rowOff>
    </xdr:from>
    <xdr:ext cx="4202945" cy="5449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182E91-E844-3106-91C3-F94295A8DA7D}"/>
                </a:ext>
              </a:extLst>
            </xdr:cNvPr>
            <xdr:cNvSpPr txBox="1"/>
          </xdr:nvSpPr>
          <xdr:spPr>
            <a:xfrm>
              <a:off x="0" y="4193862"/>
              <a:ext cx="4202945" cy="544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arg</m:t>
                        </m:r>
                      </m:fName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max</m:t>
                                </m:r>
                              </m:e>
                              <m:lim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{</m:t>
                                </m:r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}</m:t>
                                </m:r>
                              </m:lim>
                            </m:limLow>
                          </m:fName>
                          <m:e>
                            <m:d>
                              <m:d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unc>
                                  <m:func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pl-PL" sz="1100" b="0" i="0">
                                        <a:latin typeface="Cambria Math" panose="02040503050406030204" pitchFamily="18" charset="0"/>
                                      </a:rPr>
                                      <m:t>Pr</m:t>
                                    </m:r>
                                  </m:fName>
                                  <m:e>
                                    <m:d>
                                      <m:dPr>
                                        <m:begChr m:val="{"/>
                                        <m:endChr m:val="}"/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𝑋</m:t>
                                        </m:r>
                                      </m:e>
                                      <m:e>
                                        <m:sSub>
                                          <m:sSubPr>
                                            <m:ctrlPr>
                                              <a:rPr lang="pl-PL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pl-PL" sz="1100" b="0" i="1">
                                                <a:latin typeface="Cambria Math" panose="02040503050406030204" pitchFamily="18" charset="0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pl-PL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func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∗</m:t>
                                </m:r>
                                <m:func>
                                  <m:func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pl-PL" sz="1100" b="0" i="0">
                                        <a:latin typeface="Cambria Math" panose="02040503050406030204" pitchFamily="18" charset="0"/>
                                      </a:rPr>
                                      <m:t>Pr</m:t>
                                    </m:r>
                                  </m:fName>
                                  <m:e>
                                    <m:d>
                                      <m:dPr>
                                        <m:begChr m:val="{"/>
                                        <m:endChr m:val="}"/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pl-PL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pl-PL" sz="1100" b="0" i="1">
                                                <a:latin typeface="Cambria Math" panose="02040503050406030204" pitchFamily="18" charset="0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pl-PL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func>
                              </m:e>
                            </m:d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func>
                              <m:func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arg</m:t>
                                </m:r>
                              </m:fName>
                              <m:e>
                                <m:func>
                                  <m:funcPr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limLow>
                                      <m:limLowPr>
                                        <m:ctrlP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limLow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pl-PL" sz="1100" b="0" i="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max</m:t>
                                        </m:r>
                                      </m:e>
                                      <m:lim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{</m:t>
                                        </m:r>
                                        <m:sSub>
                                          <m:sSubPr>
                                            <m:ctrlP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</m:t>
                                            </m:r>
                                          </m:sub>
                                        </m:sSub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,</m:t>
                                        </m:r>
                                        <m:sSub>
                                          <m:sSubPr>
                                            <m:ctrlP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b>
                                        </m:sSub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}</m:t>
                                        </m:r>
                                      </m:lim>
                                    </m:limLow>
                                  </m:fName>
                                  <m:e>
                                    <m:d>
                                      <m:dPr>
                                        <m:ctrlP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unc>
                                          <m:funcPr>
                                            <m:ctrlP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uncPr>
                                          <m:fName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pl-PL" sz="1100" b="0" i="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Pr</m:t>
                                            </m:r>
                                          </m:fName>
                                          <m:e>
                                            <m:d>
                                              <m:dPr>
                                                <m:begChr m:val="{"/>
                                                <m:endChr m:val="}"/>
                                                <m:ctrlP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pl-PL" sz="1100" b="0" i="1"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  <a:effectLst/>
                                                        <a:latin typeface="Cambria Math" panose="02040503050406030204" pitchFamily="18" charset="0"/>
                                                        <a:ea typeface="+mn-ea"/>
                                                        <a:cs typeface="+mn-cs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pl-PL" sz="1100" b="0" i="1"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  <a:effectLst/>
                                                        <a:latin typeface="Cambria Math" panose="02040503050406030204" pitchFamily="18" charset="0"/>
                                                        <a:ea typeface="+mn-ea"/>
                                                        <a:cs typeface="+mn-cs"/>
                                                      </a:rPr>
                                                      <m:t>𝐶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pl-PL" sz="1100" b="0" i="1">
                                                        <a:solidFill>
                                                          <a:schemeClr val="tx1"/>
                                                        </a:solidFill>
                                                        <a:effectLst/>
                                                        <a:latin typeface="Cambria Math" panose="02040503050406030204" pitchFamily="18" charset="0"/>
                                                        <a:ea typeface="+mn-ea"/>
                                                        <a:cs typeface="+mn-cs"/>
                                                      </a:rPr>
                                                      <m:t>𝑖</m:t>
                                                    </m:r>
                                                  </m:sub>
                                                </m:sSub>
                                              </m:e>
                                            </m:d>
                                          </m:e>
                                        </m:func>
                                        <m:nary>
                                          <m:naryPr>
                                            <m:chr m:val="∏"/>
                                            <m:ctrlP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naryPr>
                                          <m:sub>
                                            <m:r>
                                              <m:rPr>
                                                <m:brk m:alnAt="23"/>
                                              </m:rP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𝑘</m:t>
                                            </m:r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=1</m:t>
                                            </m:r>
                                          </m:sub>
                                          <m:sup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3</m:t>
                                            </m:r>
                                          </m:sup>
                                          <m:e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pl-PL" sz="1100" b="0" i="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Pr</m:t>
                                            </m:r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⁡{</m:t>
                                            </m:r>
                                            <m:sSub>
                                              <m:sSubPr>
                                                <m:ctrlP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sSubPr>
                                              <m:e>
                                                <m: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𝑥</m:t>
                                                </m:r>
                                              </m:e>
                                              <m:sub>
                                                <m: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𝑘</m:t>
                                                </m:r>
                                              </m:sub>
                                            </m:sSub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|</m:t>
                                            </m:r>
                                            <m:sSub>
                                              <m:sSubPr>
                                                <m:ctrlP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sSubPr>
                                              <m:e>
                                                <m: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𝐶</m:t>
                                                </m:r>
                                              </m:e>
                                              <m:sub>
                                                <m:r>
                                                  <a:rPr lang="pl-PL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𝑖</m:t>
                                                </m:r>
                                              </m:sub>
                                            </m:sSub>
                                            <m:r>
                                              <a:rPr lang="pl-PL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}</m:t>
                                            </m:r>
                                          </m:e>
                                        </m:nary>
                                      </m:e>
                                    </m:d>
                                  </m:e>
                                </m:func>
                              </m:e>
                            </m:func>
                          </m:e>
                        </m:func>
                      </m:e>
                    </m:func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182E91-E844-3106-91C3-F94295A8DA7D}"/>
                </a:ext>
              </a:extLst>
            </xdr:cNvPr>
            <xdr:cNvSpPr txBox="1"/>
          </xdr:nvSpPr>
          <xdr:spPr>
            <a:xfrm>
              <a:off x="0" y="4193862"/>
              <a:ext cx="4202945" cy="544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𝑑^∗=arg⁡max_({𝐶_1,𝐶_2})⁡〖(Pr⁡{𝑋│𝐶_𝑖 }∗Pr⁡{𝐶_𝑖 } )=arg⁡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max┬({𝐶_1,𝐶_2})⁡(Pr⁡{𝐶_𝑖 }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∏24_(𝑘=1)^3▒〖Pr⁡{𝑥_𝑘 |𝐶_𝑖}〗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〗 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536713</xdr:colOff>
      <xdr:row>21</xdr:row>
      <xdr:rowOff>72887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C65BDB-36EC-3466-67AD-0A334D63C30F}"/>
            </a:ext>
          </a:extLst>
        </xdr:cNvPr>
        <xdr:cNvSpPr txBox="1"/>
      </xdr:nvSpPr>
      <xdr:spPr>
        <a:xfrm>
          <a:off x="4603474" y="4073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 sz="1100"/>
        </a:p>
      </xdr:txBody>
    </xdr:sp>
    <xdr:clientData/>
  </xdr:oneCellAnchor>
  <xdr:oneCellAnchor>
    <xdr:from>
      <xdr:col>0</xdr:col>
      <xdr:colOff>0</xdr:colOff>
      <xdr:row>29</xdr:row>
      <xdr:rowOff>180561</xdr:rowOff>
    </xdr:from>
    <xdr:ext cx="267284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9DCEA9D-0798-02C6-8E55-C4094FF5471E}"/>
                </a:ext>
              </a:extLst>
            </xdr:cNvPr>
            <xdr:cNvSpPr txBox="1"/>
          </xdr:nvSpPr>
          <xdr:spPr>
            <a:xfrm>
              <a:off x="0" y="5705061"/>
              <a:ext cx="26728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e>
                    </m:d>
                    <m:r>
                      <a:rPr lang="pl-PL" sz="1100" b="0" i="1">
                        <a:latin typeface="Cambria Math" panose="02040503050406030204" pitchFamily="18" charset="0"/>
                      </a:rPr>
                      <m:t>=[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𝑠𝑖𝑙𝑛𝑦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ł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𝑜𝑛𝑒𝑐𝑧𝑛𝑖𝑒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𝑐𝑖𝑒𝑝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ł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9DCEA9D-0798-02C6-8E55-C4094FF5471E}"/>
                </a:ext>
              </a:extLst>
            </xdr:cNvPr>
            <xdr:cNvSpPr txBox="1"/>
          </xdr:nvSpPr>
          <xdr:spPr>
            <a:xfrm>
              <a:off x="0" y="5705061"/>
              <a:ext cx="267284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𝑋=[𝑥_1, 𝑥_2, 𝑥_3 ]=[𝑠𝑖𝑙𝑛𝑦, 𝑠ł𝑜𝑛𝑒𝑐𝑧𝑛𝑖𝑒, 𝑐𝑖𝑒𝑝ł𝑜]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48039</xdr:colOff>
      <xdr:row>34</xdr:row>
      <xdr:rowOff>97735</xdr:rowOff>
    </xdr:from>
    <xdr:ext cx="1931619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CDD2D3-E57A-A149-AECB-D6687D1EC026}"/>
                </a:ext>
              </a:extLst>
            </xdr:cNvPr>
            <xdr:cNvSpPr txBox="1"/>
          </xdr:nvSpPr>
          <xdr:spPr>
            <a:xfrm>
              <a:off x="5012245" y="6574735"/>
              <a:ext cx="193161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00B0F0"/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CDD2D3-E57A-A149-AECB-D6687D1EC026}"/>
                </a:ext>
              </a:extLst>
            </xdr:cNvPr>
            <xdr:cNvSpPr txBox="1"/>
          </xdr:nvSpPr>
          <xdr:spPr>
            <a:xfrm>
              <a:off x="5012245" y="6574735"/>
              <a:ext cx="193161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Pr⁡{𝐶_1 }=Pr⁡{𝑑=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</a:t>
              </a:r>
              <a:r>
                <a:rPr lang="pl-PL" sz="1100" b="0" i="0">
                  <a:latin typeface="Cambria Math" panose="02040503050406030204" pitchFamily="18" charset="0"/>
                </a:rPr>
                <a:t>=6/10=3/5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66261</xdr:colOff>
      <xdr:row>36</xdr:row>
      <xdr:rowOff>182217</xdr:rowOff>
    </xdr:from>
    <xdr:ext cx="1917320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86EFB18-D6F2-47AE-BFF5-ED0644FAB153}"/>
                </a:ext>
              </a:extLst>
            </xdr:cNvPr>
            <xdr:cNvSpPr txBox="1"/>
          </xdr:nvSpPr>
          <xdr:spPr>
            <a:xfrm>
              <a:off x="5030467" y="7040217"/>
              <a:ext cx="191732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𝑛𝑖𝑒</m:t>
                            </m:r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86EFB18-D6F2-47AE-BFF5-ED0644FAB153}"/>
                </a:ext>
              </a:extLst>
            </xdr:cNvPr>
            <xdr:cNvSpPr txBox="1"/>
          </xdr:nvSpPr>
          <xdr:spPr>
            <a:xfrm>
              <a:off x="5030467" y="7040217"/>
              <a:ext cx="191732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Pr⁡{𝐶_2 }=Pr⁡{𝑑=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</a:t>
              </a:r>
              <a:r>
                <a:rPr lang="pl-PL" sz="1100" b="0" i="0">
                  <a:latin typeface="Cambria Math" panose="02040503050406030204" pitchFamily="18" charset="0"/>
                </a:rPr>
                <a:t>=4/10=2/5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8283</xdr:colOff>
      <xdr:row>41</xdr:row>
      <xdr:rowOff>16565</xdr:rowOff>
    </xdr:from>
    <xdr:ext cx="4132606" cy="566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C84D63D-56A5-46BE-99CB-6EFFE7488E54}"/>
                </a:ext>
              </a:extLst>
            </xdr:cNvPr>
            <xdr:cNvSpPr txBox="1"/>
          </xdr:nvSpPr>
          <xdr:spPr>
            <a:xfrm>
              <a:off x="4075044" y="7827065"/>
              <a:ext cx="4132606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𝑠𝑖𝑙𝑛𝑦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𝑠𝑖𝑙𝑛𝑦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10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C84D63D-56A5-46BE-99CB-6EFFE7488E54}"/>
                </a:ext>
              </a:extLst>
            </xdr:cNvPr>
            <xdr:cNvSpPr txBox="1"/>
          </xdr:nvSpPr>
          <xdr:spPr>
            <a:xfrm>
              <a:off x="4075044" y="7827065"/>
              <a:ext cx="4132606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𝑠𝑖𝑙𝑛𝑦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𝑠𝑖𝑙𝑛𝑦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})=(2/10)/(3/5)=10/30=1/3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45</xdr:row>
      <xdr:rowOff>8282</xdr:rowOff>
    </xdr:from>
    <xdr:ext cx="4124014" cy="566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D6943F-E46E-4B89-A002-5AB871A7FA73}"/>
                </a:ext>
              </a:extLst>
            </xdr:cNvPr>
            <xdr:cNvSpPr txBox="1"/>
          </xdr:nvSpPr>
          <xdr:spPr>
            <a:xfrm>
              <a:off x="4282109" y="8580782"/>
              <a:ext cx="4124014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𝑠𝑖𝑙𝑛𝑦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𝑠𝑖𝑙𝑛𝑦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10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D6943F-E46E-4B89-A002-5AB871A7FA73}"/>
                </a:ext>
              </a:extLst>
            </xdr:cNvPr>
            <xdr:cNvSpPr txBox="1"/>
          </xdr:nvSpPr>
          <xdr:spPr>
            <a:xfrm>
              <a:off x="4282109" y="8580782"/>
              <a:ext cx="4124014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𝑠𝑖𝑙𝑛𝑦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𝑠𝑖𝑙𝑛𝑦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})=(2/10)/(2/5)=10/20=1/2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8283</xdr:colOff>
      <xdr:row>57</xdr:row>
      <xdr:rowOff>16565</xdr:rowOff>
    </xdr:from>
    <xdr:ext cx="4916667" cy="566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F1A614C-5891-4F4E-AF77-CA4F119CE803}"/>
                </a:ext>
              </a:extLst>
            </xdr:cNvPr>
            <xdr:cNvSpPr txBox="1"/>
          </xdr:nvSpPr>
          <xdr:spPr>
            <a:xfrm>
              <a:off x="4290392" y="10875065"/>
              <a:ext cx="4916667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latin typeface="Cambria Math" panose="02040503050406030204" pitchFamily="18" charset="0"/>
                              </a:rPr>
                              <m:t>𝑠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latin typeface="Cambria Math" panose="02040503050406030204" pitchFamily="18" charset="0"/>
                              </a:rPr>
                              <m:t>ł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latin typeface="Cambria Math" panose="02040503050406030204" pitchFamily="18" charset="0"/>
                              </a:rPr>
                              <m:t>𝑜𝑛𝑒𝑐𝑧𝑛𝑖𝑒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ł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𝑜𝑛𝑒𝑐𝑧𝑛𝑖𝑒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15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F1A614C-5891-4F4E-AF77-CA4F119CE803}"/>
                </a:ext>
              </a:extLst>
            </xdr:cNvPr>
            <xdr:cNvSpPr txBox="1"/>
          </xdr:nvSpPr>
          <xdr:spPr>
            <a:xfrm>
              <a:off x="4290392" y="10875065"/>
              <a:ext cx="4916667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Pr⁡〖{𝑥_2=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𝑠ł𝑜𝑛𝑒𝑐𝑧𝑛𝑖𝑒 ┤| </a:t>
              </a:r>
              <a:r>
                <a:rPr lang="pl-PL" sz="1100" b="0" i="0">
                  <a:latin typeface="Cambria Math" panose="02040503050406030204" pitchFamily="18" charset="0"/>
                </a:rPr>
                <a:t>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}〗=Pr⁡{𝑥_2=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𝑠ł𝑜𝑛𝑒𝑐𝑧𝑛𝑖𝑒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})=(3/10)/(3/5)=15/30=1/2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61</xdr:row>
      <xdr:rowOff>8282</xdr:rowOff>
    </xdr:from>
    <xdr:ext cx="4912562" cy="566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309F00B-2D14-4B02-BBDD-34049713ADFA}"/>
                </a:ext>
              </a:extLst>
            </xdr:cNvPr>
            <xdr:cNvSpPr txBox="1"/>
          </xdr:nvSpPr>
          <xdr:spPr>
            <a:xfrm>
              <a:off x="4282109" y="11628782"/>
              <a:ext cx="4912562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ł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𝑜𝑛𝑒𝑐𝑧𝑛𝑖𝑒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ł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𝑜𝑛𝑒𝑐𝑧𝑛𝑖𝑒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309F00B-2D14-4B02-BBDD-34049713ADFA}"/>
                </a:ext>
              </a:extLst>
            </xdr:cNvPr>
            <xdr:cNvSpPr txBox="1"/>
          </xdr:nvSpPr>
          <xdr:spPr>
            <a:xfrm>
              <a:off x="4282109" y="11628782"/>
              <a:ext cx="4912562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Pr⁡〖{𝑥_2=</a:t>
              </a:r>
              <a:r>
                <a:rPr lang="pl-PL" sz="1100" b="0" i="0">
                  <a:solidFill>
                    <a:srgbClr val="FFC000"/>
                  </a:solidFill>
                  <a:effectLst/>
                  <a:latin typeface="+mn-lt"/>
                  <a:ea typeface="+mn-ea"/>
                  <a:cs typeface="+mn-cs"/>
                </a:rPr>
                <a:t>𝑠ł𝑜𝑛𝑒𝑐𝑧𝑛𝑖𝑒 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 ┤| </a:t>
              </a:r>
              <a:r>
                <a:rPr lang="pl-PL" sz="1100" b="0" i="0">
                  <a:latin typeface="Cambria Math" panose="02040503050406030204" pitchFamily="18" charset="0"/>
                </a:rPr>
                <a:t>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}〗=Pr⁡{𝑥_2=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𝑠ł𝑜𝑛𝑒𝑐𝑧𝑛𝑖𝑒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})=(1/10)/(2/5)=5/20=1/4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8283</xdr:colOff>
      <xdr:row>73</xdr:row>
      <xdr:rowOff>16565</xdr:rowOff>
    </xdr:from>
    <xdr:ext cx="4323298" cy="566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CF9A403-D54B-4813-8652-A81CFF2CE453}"/>
                </a:ext>
              </a:extLst>
            </xdr:cNvPr>
            <xdr:cNvSpPr txBox="1"/>
          </xdr:nvSpPr>
          <xdr:spPr>
            <a:xfrm>
              <a:off x="4969566" y="13923065"/>
              <a:ext cx="4323298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𝑐𝑖𝑒𝑝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ł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𝑜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3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𝑐𝑖𝑒𝑝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ł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𝑜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15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CF9A403-D54B-4813-8652-A81CFF2CE453}"/>
                </a:ext>
              </a:extLst>
            </xdr:cNvPr>
            <xdr:cNvSpPr txBox="1"/>
          </xdr:nvSpPr>
          <xdr:spPr>
            <a:xfrm>
              <a:off x="4969566" y="13923065"/>
              <a:ext cx="4323298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Pr⁡〖{𝑥_3=</a:t>
              </a:r>
              <a:r>
                <a:rPr lang="pl-PL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𝑐𝑖𝑒𝑝ł𝑜 ┤| </a:t>
              </a:r>
              <a:r>
                <a:rPr lang="pl-PL" sz="1100" b="0" i="0">
                  <a:latin typeface="Cambria Math" panose="02040503050406030204" pitchFamily="18" charset="0"/>
                </a:rPr>
                <a:t>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}〗=Pr⁡{𝑥_3=</a:t>
              </a:r>
              <a:r>
                <a:rPr lang="pl-PL" sz="1100" b="0" i="0">
                  <a:solidFill>
                    <a:srgbClr val="00B050"/>
                  </a:solidFill>
                  <a:effectLst/>
                  <a:latin typeface="+mn-lt"/>
                  <a:ea typeface="+mn-ea"/>
                  <a:cs typeface="+mn-cs"/>
                </a:rPr>
                <a:t>𝑐𝑖𝑒𝑝ł𝑜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})=(3/10)/(3/5)=15/30=1/2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77</xdr:row>
      <xdr:rowOff>8282</xdr:rowOff>
    </xdr:from>
    <xdr:ext cx="4257127" cy="5663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B4615AD-56F0-439A-8DCC-455D204E9486}"/>
                </a:ext>
              </a:extLst>
            </xdr:cNvPr>
            <xdr:cNvSpPr txBox="1"/>
          </xdr:nvSpPr>
          <xdr:spPr>
            <a:xfrm>
              <a:off x="4961283" y="14676782"/>
              <a:ext cx="4257127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𝑐𝑖𝑒𝑝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ł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𝑜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3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  <m:t>𝑐𝑖𝑒𝑝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  <m:t>ł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  <m:t>𝑜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20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B4615AD-56F0-439A-8DCC-455D204E9486}"/>
                </a:ext>
              </a:extLst>
            </xdr:cNvPr>
            <xdr:cNvSpPr txBox="1"/>
          </xdr:nvSpPr>
          <xdr:spPr>
            <a:xfrm>
              <a:off x="4961283" y="14676782"/>
              <a:ext cx="4257127" cy="5663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Pr⁡〖{𝑥_3=</a:t>
              </a:r>
              <a:r>
                <a:rPr lang="pl-PL" sz="1100" b="0" i="0">
                  <a:solidFill>
                    <a:srgbClr val="00B05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𝑐𝑖𝑒𝑝ł𝑜 ┤| </a:t>
              </a:r>
              <a:r>
                <a:rPr lang="pl-PL" sz="1100" b="0" i="0">
                  <a:latin typeface="Cambria Math" panose="02040503050406030204" pitchFamily="18" charset="0"/>
                </a:rPr>
                <a:t>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}〗=Pr⁡{𝑥_3=</a:t>
              </a:r>
              <a:r>
                <a:rPr lang="pl-PL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𝑐𝑖𝑒𝑝ł𝑜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})=(1/10)/(2/5)=5/20=1/4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86</xdr:row>
      <xdr:rowOff>188843</xdr:rowOff>
    </xdr:from>
    <xdr:ext cx="6206251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37A3380-FB44-774C-11B2-EAAE7D93F09E}"/>
                </a:ext>
              </a:extLst>
            </xdr:cNvPr>
            <xdr:cNvSpPr txBox="1"/>
          </xdr:nvSpPr>
          <xdr:spPr>
            <a:xfrm>
              <a:off x="0" y="16571843"/>
              <a:ext cx="6206251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0">
                        <a:latin typeface="Cambria Math" panose="02040503050406030204" pitchFamily="18" charset="0"/>
                      </a:rPr>
                      <m:t>Pr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}∗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∗</m:t>
                    </m:r>
                    <m:nary>
                      <m:naryPr>
                        <m:chr m:val="∏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𝑘</m:t>
                                    </m:r>
                                  </m:sub>
                                </m:sSub>
                              </m:e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</m:e>
                    </m:nary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𝑡𝑎𝑘</m:t>
                            </m:r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nary>
                          <m:naryPr>
                            <m:chr m:val="∏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func>
                              <m:funcPr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𝑘</m:t>
                                        </m:r>
                                      </m:sub>
                                    </m:sSub>
                                  </m:e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=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𝑡𝑎𝑘</m:t>
                                    </m:r>
                                  </m:e>
                                </m:d>
                              </m:e>
                            </m:func>
                          </m:e>
                        </m:nary>
                      </m:e>
                    </m:func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=0,05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37A3380-FB44-774C-11B2-EAAE7D93F09E}"/>
                </a:ext>
              </a:extLst>
            </xdr:cNvPr>
            <xdr:cNvSpPr txBox="1"/>
          </xdr:nvSpPr>
          <xdr:spPr>
            <a:xfrm>
              <a:off x="0" y="16571843"/>
              <a:ext cx="6206251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Pr⁡{𝑋|𝐶_1}∗Pr⁡{𝐶_1 }=Pr⁡{𝐶_1 }∗∏_(𝑘=1)^3▒Pr⁡{𝑥_𝑘│𝐶_1 } 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=Pr⁡〖{𝑑=𝑡𝑎𝑘}∗∏_(𝑘=1)^3▒Pr⁡{𝑥_𝑘│𝑑=𝑡𝑎𝑘} 〗=3/5∗1/3∗1/2∗1/2=0,05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89</xdr:row>
      <xdr:rowOff>182217</xdr:rowOff>
    </xdr:from>
    <xdr:ext cx="6242158" cy="4802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1103A4E-D171-4D23-AED0-F5C3CA57E3BF}"/>
                </a:ext>
              </a:extLst>
            </xdr:cNvPr>
            <xdr:cNvSpPr txBox="1"/>
          </xdr:nvSpPr>
          <xdr:spPr>
            <a:xfrm>
              <a:off x="0" y="17136717"/>
              <a:ext cx="6242158" cy="480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0">
                        <a:latin typeface="Cambria Math" panose="02040503050406030204" pitchFamily="18" charset="0"/>
                      </a:rPr>
                      <m:t>Pr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}∗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∗</m:t>
                    </m:r>
                    <m:nary>
                      <m:naryPr>
                        <m:chr m:val="∏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𝑘</m:t>
                                    </m:r>
                                  </m:sub>
                                </m:sSub>
                              </m:e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</m:e>
                    </m:nary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𝑛𝑖𝑒</m:t>
                            </m:r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nary>
                          <m:naryPr>
                            <m:chr m:val="∏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func>
                              <m:funcPr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𝑘</m:t>
                                        </m:r>
                                      </m:sub>
                                    </m:sSub>
                                  </m:e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=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𝑛𝑖𝑒</m:t>
                                    </m:r>
                                  </m:e>
                                </m:d>
                              </m:e>
                            </m:func>
                          </m:e>
                        </m:nary>
                      </m:e>
                    </m:func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=0,0125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1103A4E-D171-4D23-AED0-F5C3CA57E3BF}"/>
                </a:ext>
              </a:extLst>
            </xdr:cNvPr>
            <xdr:cNvSpPr txBox="1"/>
          </xdr:nvSpPr>
          <xdr:spPr>
            <a:xfrm>
              <a:off x="0" y="17136717"/>
              <a:ext cx="6242158" cy="480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b="0" i="0">
                  <a:latin typeface="Cambria Math" panose="02040503050406030204" pitchFamily="18" charset="0"/>
                </a:rPr>
                <a:t>Pr⁡{𝑋|𝐶_2}∗Pr⁡{𝐶_2 }=Pr⁡{𝐶_2 }∗∏_(𝑘=1)^3▒Pr⁡{𝑥_𝑘│𝐶_2 } 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=Pr⁡〖{𝑑=𝑛𝑖𝑒}∗∏_(𝑘=1)^3▒Pr⁡{𝑥_𝑘│𝑑=𝑛𝑖𝑒} 〗=2/5∗1/2∗1/4∗1/4=0,0125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96</xdr:row>
      <xdr:rowOff>6626</xdr:rowOff>
    </xdr:from>
    <xdr:ext cx="309911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9C2B987-B8FD-483B-FFD9-1B355212213C}"/>
                </a:ext>
              </a:extLst>
            </xdr:cNvPr>
            <xdr:cNvSpPr txBox="1"/>
          </xdr:nvSpPr>
          <xdr:spPr>
            <a:xfrm>
              <a:off x="0" y="18294626"/>
              <a:ext cx="30991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arg</m:t>
                        </m:r>
                      </m:fName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max</m:t>
                            </m:r>
                          </m:fName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func>
                              <m:func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func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unc>
                              <m:func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func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⁡{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d>
                              <m:dPr>
                                <m:begChr m:val="|"/>
                                <m:endChr m:val="|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unc>
                              <m:func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latin typeface="Cambria Math" panose="02040503050406030204" pitchFamily="18" charset="0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func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func>
                      </m:e>
                    </m:func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9C2B987-B8FD-483B-FFD9-1B355212213C}"/>
                </a:ext>
              </a:extLst>
            </xdr:cNvPr>
            <xdr:cNvSpPr txBox="1"/>
          </xdr:nvSpPr>
          <xdr:spPr>
            <a:xfrm>
              <a:off x="0" y="18294626"/>
              <a:ext cx="309911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𝑑^∗=arg⁡max⁡〖(Pr⁡{𝑋│𝐶_1 }∗Pr⁡{𝐶_1 }, Pr⁡{𝑋|𝐶_2 |∗Pr⁡{𝐶_2 })〗 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98</xdr:row>
      <xdr:rowOff>8283</xdr:rowOff>
    </xdr:from>
    <xdr:ext cx="278826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7045133-943F-4015-8460-C94C5C90606B}"/>
                </a:ext>
              </a:extLst>
            </xdr:cNvPr>
            <xdr:cNvSpPr txBox="1"/>
          </xdr:nvSpPr>
          <xdr:spPr>
            <a:xfrm>
              <a:off x="0" y="18677283"/>
              <a:ext cx="278826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arg</m:t>
                        </m:r>
                      </m:fName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max</m:t>
                            </m:r>
                          </m:fName>
                          <m:e>
                            <m:d>
                              <m:d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0,05;0,0125</m:t>
                                </m:r>
                              </m:e>
                            </m:d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={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}</m:t>
                            </m:r>
                          </m:e>
                        </m:func>
                      </m:e>
                    </m:func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7045133-943F-4015-8460-C94C5C90606B}"/>
                </a:ext>
              </a:extLst>
            </xdr:cNvPr>
            <xdr:cNvSpPr txBox="1"/>
          </xdr:nvSpPr>
          <xdr:spPr>
            <a:xfrm>
              <a:off x="0" y="18677283"/>
              <a:ext cx="278826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𝑑^∗=arg⁡max⁡〖(0,05;0,0125)=𝐶_1={𝑑=𝑡𝑎𝑘}〗 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97</xdr:row>
      <xdr:rowOff>85725</xdr:rowOff>
    </xdr:from>
    <xdr:to>
      <xdr:col>6</xdr:col>
      <xdr:colOff>239187</xdr:colOff>
      <xdr:row>101</xdr:row>
      <xdr:rowOff>19147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E21D8-8B54-FB24-C056-714EF1D5D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64225"/>
          <a:ext cx="7611537" cy="6954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152400</xdr:rowOff>
    </xdr:from>
    <xdr:to>
      <xdr:col>6</xdr:col>
      <xdr:colOff>248714</xdr:colOff>
      <xdr:row>96</xdr:row>
      <xdr:rowOff>104875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222D4C-FDB3-7711-43BB-8DA50F1E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78400"/>
          <a:ext cx="7621064" cy="7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CE31-E133-48AA-9D52-5B5022257C37}">
  <dimension ref="A1:E101"/>
  <sheetViews>
    <sheetView topLeftCell="A70" zoomScale="115" zoomScaleNormal="115" workbookViewId="0">
      <selection activeCell="B102" sqref="B102"/>
    </sheetView>
  </sheetViews>
  <sheetFormatPr defaultRowHeight="15"/>
  <cols>
    <col min="1" max="1" width="13.42578125" bestFit="1" customWidth="1"/>
    <col min="2" max="2" width="23.7109375" bestFit="1" customWidth="1"/>
    <col min="3" max="3" width="13.5703125" bestFit="1" customWidth="1"/>
    <col min="4" max="4" width="23.7109375" bestFit="1" customWidth="1"/>
    <col min="5" max="5" width="13.42578125" bestFit="1" customWidth="1"/>
  </cols>
  <sheetData>
    <row r="1" spans="1:5">
      <c r="B1" s="9" t="s">
        <v>0</v>
      </c>
      <c r="C1" s="9"/>
      <c r="D1" s="9"/>
      <c r="E1" s="1"/>
    </row>
    <row r="2" spans="1:5"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>
      <c r="A4" s="1">
        <v>1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>
      <c r="A5" s="1">
        <v>2</v>
      </c>
      <c r="B5" s="1" t="s">
        <v>10</v>
      </c>
      <c r="C5" s="1" t="s">
        <v>11</v>
      </c>
      <c r="D5" s="1" t="s">
        <v>14</v>
      </c>
      <c r="E5" s="1" t="s">
        <v>13</v>
      </c>
    </row>
    <row r="6" spans="1:5">
      <c r="A6" s="1">
        <v>3</v>
      </c>
      <c r="B6" s="1" t="s">
        <v>15</v>
      </c>
      <c r="C6" s="1" t="s">
        <v>16</v>
      </c>
      <c r="D6" s="1" t="s">
        <v>14</v>
      </c>
      <c r="E6" s="1" t="s">
        <v>17</v>
      </c>
    </row>
    <row r="7" spans="1:5">
      <c r="A7" s="1">
        <v>4</v>
      </c>
      <c r="B7" s="1" t="s">
        <v>15</v>
      </c>
      <c r="C7" s="1" t="s">
        <v>16</v>
      </c>
      <c r="D7" s="1" t="s">
        <v>18</v>
      </c>
      <c r="E7" s="1" t="s">
        <v>13</v>
      </c>
    </row>
    <row r="8" spans="1:5">
      <c r="A8" s="1">
        <v>5</v>
      </c>
      <c r="B8" s="1" t="s">
        <v>19</v>
      </c>
      <c r="C8" s="1" t="s">
        <v>11</v>
      </c>
      <c r="D8" s="1" t="s">
        <v>18</v>
      </c>
      <c r="E8" s="1" t="s">
        <v>17</v>
      </c>
    </row>
    <row r="9" spans="1:5">
      <c r="A9" s="1">
        <v>6</v>
      </c>
      <c r="B9" s="1" t="s">
        <v>19</v>
      </c>
      <c r="C9" s="1" t="s">
        <v>16</v>
      </c>
      <c r="D9" s="1" t="s">
        <v>14</v>
      </c>
      <c r="E9" s="1" t="s">
        <v>17</v>
      </c>
    </row>
    <row r="10" spans="1:5">
      <c r="A10" s="1">
        <v>7</v>
      </c>
      <c r="B10" s="1" t="s">
        <v>15</v>
      </c>
      <c r="C10" s="1" t="s">
        <v>11</v>
      </c>
      <c r="D10" s="1" t="s">
        <v>12</v>
      </c>
      <c r="E10" s="1" t="s">
        <v>13</v>
      </c>
    </row>
    <row r="11" spans="1:5">
      <c r="A11" s="1">
        <v>8</v>
      </c>
      <c r="B11" s="1" t="s">
        <v>10</v>
      </c>
      <c r="C11" s="1" t="s">
        <v>16</v>
      </c>
      <c r="D11" s="1" t="s">
        <v>12</v>
      </c>
      <c r="E11" s="1" t="s">
        <v>17</v>
      </c>
    </row>
    <row r="12" spans="1:5">
      <c r="A12" s="1">
        <v>9</v>
      </c>
      <c r="B12" s="1" t="s">
        <v>15</v>
      </c>
      <c r="C12" s="1" t="s">
        <v>11</v>
      </c>
      <c r="D12" s="1" t="s">
        <v>18</v>
      </c>
      <c r="E12" s="1" t="s">
        <v>17</v>
      </c>
    </row>
    <row r="13" spans="1:5">
      <c r="A13" s="1">
        <v>10</v>
      </c>
      <c r="B13" s="1" t="s">
        <v>10</v>
      </c>
      <c r="C13" s="1" t="s">
        <v>11</v>
      </c>
      <c r="D13" s="1" t="s">
        <v>14</v>
      </c>
      <c r="E13" s="1" t="s">
        <v>17</v>
      </c>
    </row>
    <row r="14" spans="1:5">
      <c r="A14" s="2">
        <v>11</v>
      </c>
      <c r="B14" s="2" t="s">
        <v>10</v>
      </c>
      <c r="C14" s="2" t="s">
        <v>16</v>
      </c>
      <c r="D14" s="2" t="s">
        <v>14</v>
      </c>
      <c r="E14" s="2" t="s">
        <v>20</v>
      </c>
    </row>
    <row r="17" spans="1:1">
      <c r="A17" t="s">
        <v>21</v>
      </c>
    </row>
    <row r="19" spans="1:1">
      <c r="A19" t="s">
        <v>22</v>
      </c>
    </row>
    <row r="20" spans="1:1">
      <c r="A20" t="s">
        <v>23</v>
      </c>
    </row>
    <row r="22" spans="1:1">
      <c r="A22" t="s">
        <v>24</v>
      </c>
    </row>
    <row r="27" spans="1:1">
      <c r="A27" t="s">
        <v>25</v>
      </c>
    </row>
    <row r="29" spans="1:1">
      <c r="A29" t="s">
        <v>26</v>
      </c>
    </row>
    <row r="36" spans="1:3">
      <c r="B36" s="1" t="s">
        <v>1</v>
      </c>
      <c r="C36" s="1" t="s">
        <v>4</v>
      </c>
    </row>
    <row r="37" spans="1:3">
      <c r="A37" s="1" t="s">
        <v>5</v>
      </c>
      <c r="B37" s="1" t="s">
        <v>6</v>
      </c>
      <c r="C37" s="1" t="s">
        <v>9</v>
      </c>
    </row>
    <row r="38" spans="1:3">
      <c r="A38" s="1">
        <v>1</v>
      </c>
      <c r="B38" s="5" t="s">
        <v>10</v>
      </c>
      <c r="C38" s="3" t="s">
        <v>13</v>
      </c>
    </row>
    <row r="39" spans="1:3">
      <c r="A39" s="1">
        <v>2</v>
      </c>
      <c r="B39" s="5" t="s">
        <v>10</v>
      </c>
      <c r="C39" s="3" t="s">
        <v>13</v>
      </c>
    </row>
    <row r="40" spans="1:3">
      <c r="A40" s="1">
        <v>3</v>
      </c>
      <c r="B40" s="1" t="s">
        <v>15</v>
      </c>
      <c r="C40" s="4" t="s">
        <v>17</v>
      </c>
    </row>
    <row r="41" spans="1:3">
      <c r="A41" s="1">
        <v>4</v>
      </c>
      <c r="B41" s="1" t="s">
        <v>15</v>
      </c>
      <c r="C41" s="3" t="s">
        <v>13</v>
      </c>
    </row>
    <row r="42" spans="1:3">
      <c r="A42" s="1">
        <v>5</v>
      </c>
      <c r="B42" s="1" t="s">
        <v>19</v>
      </c>
      <c r="C42" s="4" t="s">
        <v>17</v>
      </c>
    </row>
    <row r="43" spans="1:3">
      <c r="A43" s="1">
        <v>6</v>
      </c>
      <c r="B43" s="1" t="s">
        <v>19</v>
      </c>
      <c r="C43" s="4" t="s">
        <v>17</v>
      </c>
    </row>
    <row r="44" spans="1:3">
      <c r="A44" s="1">
        <v>7</v>
      </c>
      <c r="B44" s="1" t="s">
        <v>15</v>
      </c>
      <c r="C44" s="3" t="s">
        <v>13</v>
      </c>
    </row>
    <row r="45" spans="1:3">
      <c r="A45" s="1">
        <v>8</v>
      </c>
      <c r="B45" s="5" t="s">
        <v>10</v>
      </c>
      <c r="C45" s="4" t="s">
        <v>17</v>
      </c>
    </row>
    <row r="46" spans="1:3">
      <c r="A46" s="1">
        <v>9</v>
      </c>
      <c r="B46" s="1" t="s">
        <v>15</v>
      </c>
      <c r="C46" s="4" t="s">
        <v>17</v>
      </c>
    </row>
    <row r="47" spans="1:3">
      <c r="A47" s="1">
        <v>10</v>
      </c>
      <c r="B47" s="5" t="s">
        <v>10</v>
      </c>
      <c r="C47" s="4" t="s">
        <v>17</v>
      </c>
    </row>
    <row r="48" spans="1:3">
      <c r="A48" s="2">
        <v>11</v>
      </c>
      <c r="B48" s="2" t="s">
        <v>10</v>
      </c>
      <c r="C48" s="2" t="s">
        <v>20</v>
      </c>
    </row>
    <row r="52" spans="1:3">
      <c r="B52" s="1" t="s">
        <v>2</v>
      </c>
      <c r="C52" s="1" t="s">
        <v>4</v>
      </c>
    </row>
    <row r="53" spans="1:3">
      <c r="A53" s="1" t="s">
        <v>5</v>
      </c>
      <c r="B53" s="1" t="s">
        <v>7</v>
      </c>
      <c r="C53" s="1" t="s">
        <v>9</v>
      </c>
    </row>
    <row r="54" spans="1:3">
      <c r="A54" s="1">
        <v>1</v>
      </c>
      <c r="B54" s="1" t="s">
        <v>11</v>
      </c>
      <c r="C54" s="3" t="s">
        <v>13</v>
      </c>
    </row>
    <row r="55" spans="1:3">
      <c r="A55" s="1">
        <v>2</v>
      </c>
      <c r="B55" s="1" t="s">
        <v>11</v>
      </c>
      <c r="C55" s="3" t="s">
        <v>13</v>
      </c>
    </row>
    <row r="56" spans="1:3">
      <c r="A56" s="1">
        <v>3</v>
      </c>
      <c r="B56" s="6" t="s">
        <v>16</v>
      </c>
      <c r="C56" s="4" t="s">
        <v>17</v>
      </c>
    </row>
    <row r="57" spans="1:3">
      <c r="A57" s="1">
        <v>4</v>
      </c>
      <c r="B57" s="6" t="s">
        <v>16</v>
      </c>
      <c r="C57" s="3" t="s">
        <v>13</v>
      </c>
    </row>
    <row r="58" spans="1:3">
      <c r="A58" s="1">
        <v>5</v>
      </c>
      <c r="B58" s="1" t="s">
        <v>11</v>
      </c>
      <c r="C58" s="4" t="s">
        <v>17</v>
      </c>
    </row>
    <row r="59" spans="1:3">
      <c r="A59" s="1">
        <v>6</v>
      </c>
      <c r="B59" s="6" t="s">
        <v>16</v>
      </c>
      <c r="C59" s="4" t="s">
        <v>17</v>
      </c>
    </row>
    <row r="60" spans="1:3">
      <c r="A60" s="1">
        <v>7</v>
      </c>
      <c r="B60" s="1" t="s">
        <v>11</v>
      </c>
      <c r="C60" s="3" t="s">
        <v>13</v>
      </c>
    </row>
    <row r="61" spans="1:3">
      <c r="A61" s="1">
        <v>8</v>
      </c>
      <c r="B61" s="6" t="s">
        <v>16</v>
      </c>
      <c r="C61" s="4" t="s">
        <v>17</v>
      </c>
    </row>
    <row r="62" spans="1:3">
      <c r="A62" s="1">
        <v>9</v>
      </c>
      <c r="B62" s="1" t="s">
        <v>11</v>
      </c>
      <c r="C62" s="4" t="s">
        <v>17</v>
      </c>
    </row>
    <row r="63" spans="1:3">
      <c r="A63" s="1">
        <v>10</v>
      </c>
      <c r="B63" s="1" t="s">
        <v>11</v>
      </c>
      <c r="C63" s="4" t="s">
        <v>17</v>
      </c>
    </row>
    <row r="64" spans="1:3">
      <c r="A64" s="2">
        <v>11</v>
      </c>
      <c r="B64" s="2" t="s">
        <v>16</v>
      </c>
      <c r="C64" s="2" t="s">
        <v>20</v>
      </c>
    </row>
    <row r="68" spans="1:3">
      <c r="B68" s="1" t="s">
        <v>3</v>
      </c>
      <c r="C68" s="1" t="s">
        <v>4</v>
      </c>
    </row>
    <row r="69" spans="1:3">
      <c r="A69" s="1" t="s">
        <v>5</v>
      </c>
      <c r="B69" s="1" t="s">
        <v>8</v>
      </c>
      <c r="C69" s="1" t="s">
        <v>9</v>
      </c>
    </row>
    <row r="70" spans="1:3">
      <c r="A70" s="1">
        <v>1</v>
      </c>
      <c r="B70" s="1" t="s">
        <v>12</v>
      </c>
      <c r="C70" s="3" t="s">
        <v>13</v>
      </c>
    </row>
    <row r="71" spans="1:3">
      <c r="A71" s="1">
        <v>2</v>
      </c>
      <c r="B71" s="7" t="s">
        <v>14</v>
      </c>
      <c r="C71" s="3" t="s">
        <v>13</v>
      </c>
    </row>
    <row r="72" spans="1:3">
      <c r="A72" s="1">
        <v>3</v>
      </c>
      <c r="B72" s="7" t="s">
        <v>14</v>
      </c>
      <c r="C72" s="4" t="s">
        <v>17</v>
      </c>
    </row>
    <row r="73" spans="1:3">
      <c r="A73" s="1">
        <v>4</v>
      </c>
      <c r="B73" s="1" t="s">
        <v>18</v>
      </c>
      <c r="C73" s="3" t="s">
        <v>13</v>
      </c>
    </row>
    <row r="74" spans="1:3">
      <c r="A74" s="1">
        <v>5</v>
      </c>
      <c r="B74" s="1" t="s">
        <v>18</v>
      </c>
      <c r="C74" s="4" t="s">
        <v>17</v>
      </c>
    </row>
    <row r="75" spans="1:3">
      <c r="A75" s="1">
        <v>6</v>
      </c>
      <c r="B75" s="7" t="s">
        <v>14</v>
      </c>
      <c r="C75" s="4" t="s">
        <v>17</v>
      </c>
    </row>
    <row r="76" spans="1:3">
      <c r="A76" s="1">
        <v>7</v>
      </c>
      <c r="B76" s="1" t="s">
        <v>12</v>
      </c>
      <c r="C76" s="3" t="s">
        <v>13</v>
      </c>
    </row>
    <row r="77" spans="1:3">
      <c r="A77" s="1">
        <v>8</v>
      </c>
      <c r="B77" s="1" t="s">
        <v>12</v>
      </c>
      <c r="C77" s="4" t="s">
        <v>17</v>
      </c>
    </row>
    <row r="78" spans="1:3">
      <c r="A78" s="1">
        <v>9</v>
      </c>
      <c r="B78" s="1" t="s">
        <v>18</v>
      </c>
      <c r="C78" s="4" t="s">
        <v>17</v>
      </c>
    </row>
    <row r="79" spans="1:3">
      <c r="A79" s="1">
        <v>10</v>
      </c>
      <c r="B79" s="7" t="s">
        <v>14</v>
      </c>
      <c r="C79" s="4" t="s">
        <v>17</v>
      </c>
    </row>
    <row r="80" spans="1:3">
      <c r="A80" s="2">
        <v>11</v>
      </c>
      <c r="B80" s="2" t="s">
        <v>14</v>
      </c>
      <c r="C80" s="2" t="s">
        <v>20</v>
      </c>
    </row>
    <row r="86" spans="1:1">
      <c r="A86" t="s">
        <v>27</v>
      </c>
    </row>
    <row r="95" spans="1:1">
      <c r="A95" t="s">
        <v>28</v>
      </c>
    </row>
    <row r="101" spans="1:1">
      <c r="A101" t="s">
        <v>29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A3B3-43DA-48C3-81D4-497DC75DEA83}">
  <dimension ref="A1:H117"/>
  <sheetViews>
    <sheetView tabSelected="1" zoomScale="115" zoomScaleNormal="115" workbookViewId="0">
      <selection activeCell="K28" sqref="K28"/>
    </sheetView>
  </sheetViews>
  <sheetFormatPr defaultRowHeight="15"/>
  <cols>
    <col min="1" max="2" width="13.42578125" bestFit="1" customWidth="1"/>
    <col min="3" max="3" width="13.42578125" customWidth="1"/>
    <col min="4" max="4" width="23.7109375" bestFit="1" customWidth="1"/>
    <col min="5" max="5" width="16" bestFit="1" customWidth="1"/>
    <col min="6" max="6" width="30.5703125" bestFit="1" customWidth="1"/>
    <col min="7" max="7" width="21.85546875" bestFit="1" customWidth="1"/>
    <col min="8" max="8" width="17.5703125" bestFit="1" customWidth="1"/>
  </cols>
  <sheetData>
    <row r="1" spans="1:8">
      <c r="B1" s="9" t="s">
        <v>0</v>
      </c>
      <c r="C1" s="9"/>
      <c r="D1" s="9"/>
      <c r="E1" s="1"/>
    </row>
    <row r="2" spans="1:8">
      <c r="B2" s="1" t="s">
        <v>1</v>
      </c>
      <c r="C2" s="1" t="s">
        <v>2</v>
      </c>
      <c r="D2" s="1" t="s">
        <v>3</v>
      </c>
      <c r="E2" s="1" t="s">
        <v>4</v>
      </c>
      <c r="F2" s="1" t="s">
        <v>30</v>
      </c>
      <c r="G2" s="1" t="s">
        <v>31</v>
      </c>
      <c r="H2" s="1" t="s">
        <v>32</v>
      </c>
    </row>
    <row r="3" spans="1:8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33</v>
      </c>
      <c r="G3" s="1" t="s">
        <v>34</v>
      </c>
      <c r="H3" s="1" t="s">
        <v>35</v>
      </c>
    </row>
    <row r="4" spans="1:8">
      <c r="A4" s="1">
        <v>1</v>
      </c>
      <c r="B4" s="1">
        <f>CHOOSE(MATCH('Naiwny klasyfikator Bayesa'!B4,{"brak";"słaby";"silny"},0),0,1,2)</f>
        <v>2</v>
      </c>
      <c r="C4" s="1">
        <f>CHOOSE(MATCH('Naiwny klasyfikator Bayesa'!C4,{"pochmurnie";"słonecznie"},0),0,1)</f>
        <v>0</v>
      </c>
      <c r="D4" s="1">
        <f>CHOOSE(MATCH('Naiwny klasyfikator Bayesa'!D4,{"zimno";"ciepło";"gorąco"},0),0,1,2)</f>
        <v>0</v>
      </c>
      <c r="E4" s="1">
        <f>CHOOSE(MATCH('Naiwny klasyfikator Bayesa'!E4,{"nie";"tak"},0),0,1)</f>
        <v>0</v>
      </c>
      <c r="F4" cm="1">
        <f t="array" ref="F4">SUMPRODUCT((B4:D4-$B$14:$D$14)^2)</f>
        <v>2</v>
      </c>
      <c r="G4" s="8">
        <f t="shared" ref="G4:G14" si="0">SQRT(F4)</f>
        <v>1.4142135623730951</v>
      </c>
      <c r="H4" cm="1">
        <f t="array" ref="H4">SUMPRODUCT(ABS(B4:D4-$B$14:$D$14))</f>
        <v>2</v>
      </c>
    </row>
    <row r="5" spans="1:8">
      <c r="A5" s="1">
        <v>2</v>
      </c>
      <c r="B5" s="1">
        <f>CHOOSE(MATCH('Naiwny klasyfikator Bayesa'!B5,{"brak";"słaby";"silny"},0),0,1,2)</f>
        <v>2</v>
      </c>
      <c r="C5" s="1">
        <f>CHOOSE(MATCH('Naiwny klasyfikator Bayesa'!C5,{"pochmurnie";"słonecznie"},0),0,1)</f>
        <v>0</v>
      </c>
      <c r="D5" s="1">
        <f>CHOOSE(MATCH('Naiwny klasyfikator Bayesa'!D5,{"zimno";"ciepło";"gorąco"},0),0,1,2)</f>
        <v>1</v>
      </c>
      <c r="E5" s="1">
        <f>CHOOSE(MATCH('Naiwny klasyfikator Bayesa'!E5,{"nie";"tak"},0),0,1)</f>
        <v>0</v>
      </c>
      <c r="F5" cm="1">
        <f t="array" ref="F5">SUMPRODUCT((B5:D5-$B$14:$D$14)^2)</f>
        <v>1</v>
      </c>
      <c r="G5" s="8">
        <f t="shared" si="0"/>
        <v>1</v>
      </c>
      <c r="H5" cm="1">
        <f t="array" ref="H5">SUMPRODUCT(ABS(B5:D5-$B$14:$D$14))</f>
        <v>1</v>
      </c>
    </row>
    <row r="6" spans="1:8">
      <c r="A6" s="1">
        <v>3</v>
      </c>
      <c r="B6" s="1">
        <f>CHOOSE(MATCH('Naiwny klasyfikator Bayesa'!B6,{"brak";"słaby";"silny"},0),0,1,2)</f>
        <v>0</v>
      </c>
      <c r="C6" s="1">
        <f>CHOOSE(MATCH('Naiwny klasyfikator Bayesa'!C6,{"pochmurnie";"słonecznie"},0),0,1)</f>
        <v>1</v>
      </c>
      <c r="D6" s="1">
        <f>CHOOSE(MATCH('Naiwny klasyfikator Bayesa'!D6,{"zimno";"ciepło";"gorąco"},0),0,1,2)</f>
        <v>1</v>
      </c>
      <c r="E6" s="1">
        <f>CHOOSE(MATCH('Naiwny klasyfikator Bayesa'!E6,{"nie";"tak"},0),0,1)</f>
        <v>1</v>
      </c>
      <c r="F6" cm="1">
        <f t="array" ref="F6">SUMPRODUCT((B6:D6-$B$14:$D$14)^2)</f>
        <v>4</v>
      </c>
      <c r="G6" s="8">
        <f t="shared" si="0"/>
        <v>2</v>
      </c>
      <c r="H6" cm="1">
        <f t="array" ref="H6">SUMPRODUCT(ABS(B6:D6-$B$14:$D$14))</f>
        <v>2</v>
      </c>
    </row>
    <row r="7" spans="1:8">
      <c r="A7" s="1">
        <v>4</v>
      </c>
      <c r="B7" s="1">
        <f>CHOOSE(MATCH('Naiwny klasyfikator Bayesa'!B7,{"brak";"słaby";"silny"},0),0,1,2)</f>
        <v>0</v>
      </c>
      <c r="C7" s="1">
        <f>CHOOSE(MATCH('Naiwny klasyfikator Bayesa'!C7,{"pochmurnie";"słonecznie"},0),0,1)</f>
        <v>1</v>
      </c>
      <c r="D7" s="1">
        <f>CHOOSE(MATCH('Naiwny klasyfikator Bayesa'!D7,{"zimno";"ciepło";"gorąco"},0),0,1,2)</f>
        <v>2</v>
      </c>
      <c r="E7" s="1">
        <f>CHOOSE(MATCH('Naiwny klasyfikator Bayesa'!E7,{"nie";"tak"},0),0,1)</f>
        <v>0</v>
      </c>
      <c r="F7" cm="1">
        <f t="array" ref="F7">SUMPRODUCT((B7:D7-$B$14:$D$14)^2)</f>
        <v>5</v>
      </c>
      <c r="G7" s="8">
        <f t="shared" si="0"/>
        <v>2.2360679774997898</v>
      </c>
      <c r="H7" cm="1">
        <f t="array" ref="H7">SUMPRODUCT(ABS(B7:D7-$B$14:$D$14))</f>
        <v>3</v>
      </c>
    </row>
    <row r="8" spans="1:8">
      <c r="A8" s="1">
        <v>5</v>
      </c>
      <c r="B8" s="1">
        <f>CHOOSE(MATCH('Naiwny klasyfikator Bayesa'!B8,{"brak";"słaby";"silny"},0),0,1,2)</f>
        <v>1</v>
      </c>
      <c r="C8" s="1">
        <f>CHOOSE(MATCH('Naiwny klasyfikator Bayesa'!C8,{"pochmurnie";"słonecznie"},0),0,1)</f>
        <v>0</v>
      </c>
      <c r="D8" s="1">
        <f>CHOOSE(MATCH('Naiwny klasyfikator Bayesa'!D8,{"zimno";"ciepło";"gorąco"},0),0,1,2)</f>
        <v>2</v>
      </c>
      <c r="E8" s="1">
        <f>CHOOSE(MATCH('Naiwny klasyfikator Bayesa'!E8,{"nie";"tak"},0),0,1)</f>
        <v>1</v>
      </c>
      <c r="F8" cm="1">
        <f t="array" ref="F8">SUMPRODUCT((B8:D8-$B$14:$D$14)^2)</f>
        <v>3</v>
      </c>
      <c r="G8" s="8">
        <f t="shared" si="0"/>
        <v>1.7320508075688772</v>
      </c>
      <c r="H8" cm="1">
        <f t="array" ref="H8">SUMPRODUCT(ABS(B8:D8-$B$14:$D$14))</f>
        <v>3</v>
      </c>
    </row>
    <row r="9" spans="1:8">
      <c r="A9" s="1">
        <v>6</v>
      </c>
      <c r="B9" s="1">
        <f>CHOOSE(MATCH('Naiwny klasyfikator Bayesa'!B9,{"brak";"słaby";"silny"},0),0,1,2)</f>
        <v>1</v>
      </c>
      <c r="C9" s="1">
        <f>CHOOSE(MATCH('Naiwny klasyfikator Bayesa'!C9,{"pochmurnie";"słonecznie"},0),0,1)</f>
        <v>1</v>
      </c>
      <c r="D9" s="1">
        <f>CHOOSE(MATCH('Naiwny klasyfikator Bayesa'!D9,{"zimno";"ciepło";"gorąco"},0),0,1,2)</f>
        <v>1</v>
      </c>
      <c r="E9" s="1">
        <f>CHOOSE(MATCH('Naiwny klasyfikator Bayesa'!E9,{"nie";"tak"},0),0,1)</f>
        <v>1</v>
      </c>
      <c r="F9" cm="1">
        <f t="array" ref="F9">SUMPRODUCT((B9:D9-$B$14:$D$14)^2)</f>
        <v>1</v>
      </c>
      <c r="G9" s="8">
        <f t="shared" si="0"/>
        <v>1</v>
      </c>
      <c r="H9" cm="1">
        <f t="array" ref="H9">SUMPRODUCT(ABS(B9:D9-$B$14:$D$14))</f>
        <v>1</v>
      </c>
    </row>
    <row r="10" spans="1:8">
      <c r="A10" s="1">
        <v>7</v>
      </c>
      <c r="B10" s="1">
        <f>CHOOSE(MATCH('Naiwny klasyfikator Bayesa'!B10,{"brak";"słaby";"silny"},0),0,1,2)</f>
        <v>0</v>
      </c>
      <c r="C10" s="1">
        <f>CHOOSE(MATCH('Naiwny klasyfikator Bayesa'!C10,{"pochmurnie";"słonecznie"},0),0,1)</f>
        <v>0</v>
      </c>
      <c r="D10" s="1">
        <f>CHOOSE(MATCH('Naiwny klasyfikator Bayesa'!D10,{"zimno";"ciepło";"gorąco"},0),0,1,2)</f>
        <v>0</v>
      </c>
      <c r="E10" s="1">
        <f>CHOOSE(MATCH('Naiwny klasyfikator Bayesa'!E10,{"nie";"tak"},0),0,1)</f>
        <v>0</v>
      </c>
      <c r="F10" cm="1">
        <f t="array" ref="F10">SUMPRODUCT((B10:D10-$B$14:$D$14)^2)</f>
        <v>6</v>
      </c>
      <c r="G10" s="8">
        <f t="shared" si="0"/>
        <v>2.4494897427831779</v>
      </c>
      <c r="H10" cm="1">
        <f t="array" ref="H10">SUMPRODUCT(ABS(B10:D10-$B$14:$D$14))</f>
        <v>4</v>
      </c>
    </row>
    <row r="11" spans="1:8">
      <c r="A11" s="1">
        <v>8</v>
      </c>
      <c r="B11" s="1">
        <f>CHOOSE(MATCH('Naiwny klasyfikator Bayesa'!B11,{"brak";"słaby";"silny"},0),0,1,2)</f>
        <v>2</v>
      </c>
      <c r="C11" s="1">
        <f>CHOOSE(MATCH('Naiwny klasyfikator Bayesa'!C11,{"pochmurnie";"słonecznie"},0),0,1)</f>
        <v>1</v>
      </c>
      <c r="D11" s="1">
        <f>CHOOSE(MATCH('Naiwny klasyfikator Bayesa'!D11,{"zimno";"ciepło";"gorąco"},0),0,1,2)</f>
        <v>0</v>
      </c>
      <c r="E11" s="1">
        <f>CHOOSE(MATCH('Naiwny klasyfikator Bayesa'!E11,{"nie";"tak"},0),0,1)</f>
        <v>1</v>
      </c>
      <c r="F11" cm="1">
        <f t="array" ref="F11">SUMPRODUCT((B11:D11-$B$14:$D$14)^2)</f>
        <v>1</v>
      </c>
      <c r="G11" s="8">
        <f t="shared" si="0"/>
        <v>1</v>
      </c>
      <c r="H11" cm="1">
        <f t="array" ref="H11">SUMPRODUCT(ABS(B11:D11-$B$14:$D$14))</f>
        <v>1</v>
      </c>
    </row>
    <row r="12" spans="1:8">
      <c r="A12" s="1">
        <v>9</v>
      </c>
      <c r="B12" s="1">
        <f>CHOOSE(MATCH('Naiwny klasyfikator Bayesa'!B12,{"brak";"słaby";"silny"},0),0,1,2)</f>
        <v>0</v>
      </c>
      <c r="C12" s="1">
        <f>CHOOSE(MATCH('Naiwny klasyfikator Bayesa'!C12,{"pochmurnie";"słonecznie"},0),0,1)</f>
        <v>0</v>
      </c>
      <c r="D12" s="1">
        <f>CHOOSE(MATCH('Naiwny klasyfikator Bayesa'!D12,{"zimno";"ciepło";"gorąco"},0),0,1,2)</f>
        <v>2</v>
      </c>
      <c r="E12" s="1">
        <f>CHOOSE(MATCH('Naiwny klasyfikator Bayesa'!E12,{"nie";"tak"},0),0,1)</f>
        <v>1</v>
      </c>
      <c r="F12" cm="1">
        <f t="array" ref="F12">SUMPRODUCT((B12:D12-$B$14:$D$14)^2)</f>
        <v>6</v>
      </c>
      <c r="G12" s="8">
        <f t="shared" si="0"/>
        <v>2.4494897427831779</v>
      </c>
      <c r="H12" cm="1">
        <f t="array" ref="H12">SUMPRODUCT(ABS(B12:D12-$B$14:$D$14))</f>
        <v>4</v>
      </c>
    </row>
    <row r="13" spans="1:8">
      <c r="A13" s="1">
        <v>10</v>
      </c>
      <c r="B13" s="1">
        <f>CHOOSE(MATCH('Naiwny klasyfikator Bayesa'!B13,{"brak";"słaby";"silny"},0),0,1,2)</f>
        <v>2</v>
      </c>
      <c r="C13" s="1">
        <f>CHOOSE(MATCH('Naiwny klasyfikator Bayesa'!C13,{"pochmurnie";"słonecznie"},0),0,1)</f>
        <v>0</v>
      </c>
      <c r="D13" s="1">
        <f>CHOOSE(MATCH('Naiwny klasyfikator Bayesa'!D13,{"zimno";"ciepło";"gorąco"},0),0,1,2)</f>
        <v>1</v>
      </c>
      <c r="E13" s="1">
        <f>CHOOSE(MATCH('Naiwny klasyfikator Bayesa'!E13,{"nie";"tak"},0),0,1)</f>
        <v>1</v>
      </c>
      <c r="F13" cm="1">
        <f t="array" ref="F13">SUMPRODUCT((B13:D13-$B$14:$D$14)^2)</f>
        <v>1</v>
      </c>
      <c r="G13" s="8">
        <f t="shared" si="0"/>
        <v>1</v>
      </c>
      <c r="H13" cm="1">
        <f t="array" ref="H13">SUMPRODUCT(ABS(B13:D13-$B$14:$D$14))</f>
        <v>1</v>
      </c>
    </row>
    <row r="14" spans="1:8">
      <c r="A14" s="2">
        <v>11</v>
      </c>
      <c r="B14" s="2">
        <f>CHOOSE(MATCH('Naiwny klasyfikator Bayesa'!B14,{"brak";"słaby";"silny"},0),0,1,2)</f>
        <v>2</v>
      </c>
      <c r="C14" s="2">
        <f>CHOOSE(MATCH('Naiwny klasyfikator Bayesa'!C14,{"pochmurnie";"słonecznie"},0),0,1)</f>
        <v>1</v>
      </c>
      <c r="D14" s="2">
        <f>CHOOSE(MATCH('Naiwny klasyfikator Bayesa'!D14,{"zimno";"ciepło";"gorąco"},0),0,1,2)</f>
        <v>1</v>
      </c>
      <c r="E14" s="2" t="s">
        <v>20</v>
      </c>
      <c r="F14" cm="1">
        <f t="array" ref="F14">SUMPRODUCT((B14:D14-$B$14:$D$14)^2)</f>
        <v>0</v>
      </c>
      <c r="G14" s="8">
        <f t="shared" si="0"/>
        <v>0</v>
      </c>
      <c r="H14" cm="1">
        <f t="array" ref="H14">SUMPRODUCT(ABS(B14:D14-$B$14:$D$14))</f>
        <v>0</v>
      </c>
    </row>
    <row r="17" spans="1:7">
      <c r="A17" t="s">
        <v>36</v>
      </c>
    </row>
    <row r="22" spans="1:7">
      <c r="A22" t="s">
        <v>37</v>
      </c>
    </row>
    <row r="24" spans="1:7">
      <c r="A24" t="s">
        <v>38</v>
      </c>
    </row>
    <row r="26" spans="1:7">
      <c r="A26" t="s">
        <v>39</v>
      </c>
    </row>
    <row r="27" spans="1:7">
      <c r="A27" t="s">
        <v>40</v>
      </c>
    </row>
    <row r="30" spans="1:7">
      <c r="B30" s="1" t="s">
        <v>4</v>
      </c>
      <c r="C30" t="s">
        <v>31</v>
      </c>
      <c r="F30" t="s">
        <v>41</v>
      </c>
      <c r="G30" t="s">
        <v>42</v>
      </c>
    </row>
    <row r="31" spans="1:7">
      <c r="A31" s="1" t="s">
        <v>5</v>
      </c>
      <c r="B31" s="1" t="s">
        <v>9</v>
      </c>
      <c r="C31" t="s">
        <v>34</v>
      </c>
      <c r="E31" t="s">
        <v>43</v>
      </c>
      <c r="F31">
        <v>1</v>
      </c>
      <c r="G31">
        <v>3</v>
      </c>
    </row>
    <row r="32" spans="1:7">
      <c r="A32">
        <v>2</v>
      </c>
      <c r="B32">
        <f>$E$5</f>
        <v>0</v>
      </c>
      <c r="C32">
        <f>$G$5</f>
        <v>1</v>
      </c>
    </row>
    <row r="33" spans="1:7">
      <c r="A33">
        <v>6</v>
      </c>
      <c r="B33">
        <f>$E$9</f>
        <v>1</v>
      </c>
      <c r="C33">
        <f>$G$9</f>
        <v>1</v>
      </c>
    </row>
    <row r="34" spans="1:7">
      <c r="A34">
        <v>8</v>
      </c>
      <c r="B34">
        <f>$E$11</f>
        <v>1</v>
      </c>
      <c r="C34">
        <f>$G$11</f>
        <v>1</v>
      </c>
    </row>
    <row r="35" spans="1:7">
      <c r="A35">
        <v>10</v>
      </c>
      <c r="B35">
        <f>$E$13</f>
        <v>1</v>
      </c>
      <c r="C35">
        <f>$G$13</f>
        <v>1</v>
      </c>
    </row>
    <row r="37" spans="1:7">
      <c r="A37" t="s">
        <v>44</v>
      </c>
    </row>
    <row r="39" spans="1:7">
      <c r="A39" t="s">
        <v>45</v>
      </c>
    </row>
    <row r="42" spans="1:7">
      <c r="A42" t="s">
        <v>46</v>
      </c>
    </row>
    <row r="43" spans="1:7">
      <c r="A43" t="s">
        <v>47</v>
      </c>
    </row>
    <row r="46" spans="1:7">
      <c r="B46" s="1" t="s">
        <v>4</v>
      </c>
      <c r="C46" t="s">
        <v>31</v>
      </c>
    </row>
    <row r="47" spans="1:7">
      <c r="A47" s="1" t="s">
        <v>5</v>
      </c>
      <c r="B47" s="1" t="s">
        <v>9</v>
      </c>
      <c r="C47" t="s">
        <v>34</v>
      </c>
      <c r="F47" t="s">
        <v>41</v>
      </c>
      <c r="G47" t="s">
        <v>42</v>
      </c>
    </row>
    <row r="48" spans="1:7">
      <c r="A48">
        <v>2</v>
      </c>
      <c r="B48">
        <f>$E$5</f>
        <v>0</v>
      </c>
      <c r="C48">
        <f>$G$5</f>
        <v>1</v>
      </c>
      <c r="E48" t="s">
        <v>43</v>
      </c>
      <c r="F48">
        <v>2</v>
      </c>
      <c r="G48">
        <v>3</v>
      </c>
    </row>
    <row r="49" spans="1:7">
      <c r="A49">
        <v>6</v>
      </c>
      <c r="B49">
        <f>$E$9</f>
        <v>1</v>
      </c>
      <c r="C49">
        <f>$G$9</f>
        <v>1</v>
      </c>
    </row>
    <row r="50" spans="1:7">
      <c r="A50">
        <v>8</v>
      </c>
      <c r="B50">
        <f>$E$11</f>
        <v>1</v>
      </c>
      <c r="C50">
        <f>$G$11</f>
        <v>1</v>
      </c>
    </row>
    <row r="51" spans="1:7">
      <c r="A51">
        <v>10</v>
      </c>
      <c r="B51">
        <f>$E$13</f>
        <v>1</v>
      </c>
      <c r="C51">
        <f>$G$13</f>
        <v>1</v>
      </c>
    </row>
    <row r="52" spans="1:7">
      <c r="A52">
        <v>1</v>
      </c>
      <c r="B52">
        <f>$E$4</f>
        <v>0</v>
      </c>
      <c r="C52">
        <f>$G$4</f>
        <v>1.4142135623730951</v>
      </c>
    </row>
    <row r="54" spans="1:7">
      <c r="A54" t="s">
        <v>44</v>
      </c>
    </row>
    <row r="57" spans="1:7">
      <c r="A57" t="s">
        <v>48</v>
      </c>
    </row>
    <row r="58" spans="1:7">
      <c r="A58" t="s">
        <v>49</v>
      </c>
    </row>
    <row r="61" spans="1:7">
      <c r="B61" s="1" t="s">
        <v>4</v>
      </c>
      <c r="C61" t="s">
        <v>31</v>
      </c>
    </row>
    <row r="62" spans="1:7">
      <c r="A62" s="1" t="s">
        <v>5</v>
      </c>
      <c r="B62" s="1" t="s">
        <v>9</v>
      </c>
      <c r="C62" t="s">
        <v>34</v>
      </c>
      <c r="F62" t="s">
        <v>41</v>
      </c>
      <c r="G62" t="s">
        <v>42</v>
      </c>
    </row>
    <row r="63" spans="1:7">
      <c r="A63">
        <v>2</v>
      </c>
      <c r="B63">
        <f>$E$5</f>
        <v>0</v>
      </c>
      <c r="C63">
        <f>$G$5</f>
        <v>1</v>
      </c>
      <c r="E63" t="s">
        <v>43</v>
      </c>
      <c r="F63">
        <v>2</v>
      </c>
      <c r="G63">
        <v>4</v>
      </c>
    </row>
    <row r="64" spans="1:7">
      <c r="A64">
        <v>6</v>
      </c>
      <c r="B64">
        <f>$E$9</f>
        <v>1</v>
      </c>
      <c r="C64">
        <f>$G$9</f>
        <v>1</v>
      </c>
    </row>
    <row r="65" spans="1:7">
      <c r="A65">
        <v>8</v>
      </c>
      <c r="B65">
        <f>$E$11</f>
        <v>1</v>
      </c>
      <c r="C65">
        <f>$G$11</f>
        <v>1</v>
      </c>
    </row>
    <row r="66" spans="1:7">
      <c r="A66">
        <v>10</v>
      </c>
      <c r="B66">
        <f>$E$13</f>
        <v>1</v>
      </c>
      <c r="C66">
        <f>$G$13</f>
        <v>1</v>
      </c>
    </row>
    <row r="67" spans="1:7">
      <c r="A67">
        <v>1</v>
      </c>
      <c r="B67">
        <f>$E$4</f>
        <v>0</v>
      </c>
      <c r="C67">
        <f>$G$4</f>
        <v>1.4142135623730951</v>
      </c>
    </row>
    <row r="68" spans="1:7">
      <c r="A68">
        <v>5</v>
      </c>
      <c r="B68">
        <f>$E$8</f>
        <v>1</v>
      </c>
      <c r="C68">
        <f>$G$8</f>
        <v>1.7320508075688772</v>
      </c>
    </row>
    <row r="70" spans="1:7">
      <c r="A70" t="s">
        <v>44</v>
      </c>
    </row>
    <row r="73" spans="1:7">
      <c r="A73" t="s">
        <v>50</v>
      </c>
    </row>
    <row r="74" spans="1:7">
      <c r="A74" t="s">
        <v>51</v>
      </c>
    </row>
    <row r="77" spans="1:7">
      <c r="B77" s="1" t="s">
        <v>4</v>
      </c>
      <c r="C77" t="s">
        <v>31</v>
      </c>
    </row>
    <row r="78" spans="1:7">
      <c r="A78" s="1" t="s">
        <v>5</v>
      </c>
      <c r="B78" s="1" t="s">
        <v>9</v>
      </c>
      <c r="C78" t="s">
        <v>34</v>
      </c>
      <c r="F78" t="s">
        <v>41</v>
      </c>
      <c r="G78" t="s">
        <v>42</v>
      </c>
    </row>
    <row r="79" spans="1:7">
      <c r="A79">
        <v>2</v>
      </c>
      <c r="B79">
        <f>$E$5</f>
        <v>0</v>
      </c>
      <c r="C79">
        <f>$G$5</f>
        <v>1</v>
      </c>
      <c r="E79" t="s">
        <v>43</v>
      </c>
      <c r="F79">
        <v>2</v>
      </c>
      <c r="G79">
        <v>5</v>
      </c>
    </row>
    <row r="80" spans="1:7">
      <c r="A80">
        <v>6</v>
      </c>
      <c r="B80">
        <f>$E$9</f>
        <v>1</v>
      </c>
      <c r="C80">
        <f>$G$9</f>
        <v>1</v>
      </c>
    </row>
    <row r="81" spans="1:3">
      <c r="A81">
        <v>8</v>
      </c>
      <c r="B81">
        <f>$E$11</f>
        <v>1</v>
      </c>
      <c r="C81">
        <f>$G$11</f>
        <v>1</v>
      </c>
    </row>
    <row r="82" spans="1:3">
      <c r="A82">
        <v>10</v>
      </c>
      <c r="B82">
        <f>$E$13</f>
        <v>1</v>
      </c>
      <c r="C82">
        <f>$G$13</f>
        <v>1</v>
      </c>
    </row>
    <row r="83" spans="1:3">
      <c r="A83">
        <v>1</v>
      </c>
      <c r="B83">
        <f>$E$4</f>
        <v>0</v>
      </c>
      <c r="C83">
        <f>$G$4</f>
        <v>1.4142135623730951</v>
      </c>
    </row>
    <row r="84" spans="1:3">
      <c r="A84">
        <v>5</v>
      </c>
      <c r="B84">
        <f>$E$8</f>
        <v>1</v>
      </c>
      <c r="C84">
        <f>$G$8</f>
        <v>1.7320508075688772</v>
      </c>
    </row>
    <row r="85" spans="1:3">
      <c r="A85">
        <v>3</v>
      </c>
      <c r="B85">
        <f>$E$6</f>
        <v>1</v>
      </c>
      <c r="C85">
        <f>$G$6</f>
        <v>2</v>
      </c>
    </row>
    <row r="87" spans="1:3">
      <c r="A87" t="s">
        <v>44</v>
      </c>
    </row>
    <row r="90" spans="1:3">
      <c r="A90" t="s">
        <v>52</v>
      </c>
    </row>
    <row r="92" spans="1:3">
      <c r="A92" t="s">
        <v>53</v>
      </c>
    </row>
    <row r="115" spans="1:1">
      <c r="A115" t="s">
        <v>54</v>
      </c>
    </row>
    <row r="117" spans="1:1">
      <c r="A117" t="s">
        <v>55</v>
      </c>
    </row>
  </sheetData>
  <mergeCells count="1">
    <mergeCell ref="B1:D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66af1e9-d714-4a1f-8101-22a504f9622f}" enabled="0" method="" siteId="{e66af1e9-d714-4a1f-8101-22a504f962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Płatkowski Zbigniew</dc:creator>
  <cp:keywords/>
  <dc:description/>
  <cp:lastModifiedBy>Płatkowski Zbigniew</cp:lastModifiedBy>
  <cp:revision/>
  <dcterms:created xsi:type="dcterms:W3CDTF">2026-01-14T14:45:46Z</dcterms:created>
  <dcterms:modified xsi:type="dcterms:W3CDTF">2026-01-19T16:43:21Z</dcterms:modified>
  <cp:category/>
  <cp:contentStatus/>
</cp:coreProperties>
</file>